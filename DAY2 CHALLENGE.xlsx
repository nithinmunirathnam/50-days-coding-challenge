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ITHIN\Downloads\"/>
    </mc:Choice>
  </mc:AlternateContent>
  <xr:revisionPtr revIDLastSave="0" documentId="13_ncr:1_{2EF5CE63-EEA7-43C2-8955-A4A74F0980D1}" xr6:coauthVersionLast="47" xr6:coauthVersionMax="47" xr10:uidLastSave="{00000000-0000-0000-0000-000000000000}"/>
  <bookViews>
    <workbookView xWindow="-110" yWindow="-110" windowWidth="19420" windowHeight="10300" xr2:uid="{5E35CE14-C13A-4F37-8E35-461FC7D88E4A}"/>
  </bookViews>
  <sheets>
    <sheet name="Student analysis" sheetId="2" r:id="rId1"/>
    <sheet name="Pivot_table" sheetId="4" r:id="rId2"/>
    <sheet name="Dashboard" sheetId="5" r:id="rId3"/>
  </sheets>
  <definedNames>
    <definedName name="Dashboard">Dashboard!$V$13</definedName>
    <definedName name="ExternalData_1" localSheetId="0" hidden="1">'Student analysis'!$A$1:$F$201</definedName>
    <definedName name="Final_Data">'Student analysis'!$I$1</definedName>
    <definedName name="Pivot_table">Pivot_table!$C$3</definedName>
    <definedName name="Slicer_Age">#N/A</definedName>
    <definedName name="Slicer_Performance_Category">#N/A</definedName>
    <definedName name="Slicer_Screen_Time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623F0-622F-44BA-8EA5-DCAD38DF67FC}" keepAlive="1" name="Query - Day2_Task" description="Connection to the 'Day2_Task' query in the workbook." type="5" refreshedVersion="8" background="1" saveData="1">
    <dbPr connection="Provider=Microsoft.Mashup.OleDb.1;Data Source=$Workbook$;Location=Day2_Task;Extended Properties=&quot;&quot;" command="SELECT * FROM [Day2_Task]"/>
  </connection>
</connections>
</file>

<file path=xl/sharedStrings.xml><?xml version="1.0" encoding="utf-8"?>
<sst xmlns="http://schemas.openxmlformats.org/spreadsheetml/2006/main" count="39" uniqueCount="23">
  <si>
    <t>Student_ID</t>
  </si>
  <si>
    <t>Age</t>
  </si>
  <si>
    <t>Study_Hours</t>
  </si>
  <si>
    <t>Screen_Time</t>
  </si>
  <si>
    <t>Test_Scores</t>
  </si>
  <si>
    <t>Extra_Curricular_Hours</t>
  </si>
  <si>
    <t>Screen Time Category</t>
  </si>
  <si>
    <t>Performance Category</t>
  </si>
  <si>
    <t xml:space="preserve">1.Average test scores by screen time category </t>
  </si>
  <si>
    <t>Low</t>
  </si>
  <si>
    <t>Moderate</t>
  </si>
  <si>
    <t>High</t>
  </si>
  <si>
    <t>Extremely High</t>
  </si>
  <si>
    <t>Grand Total</t>
  </si>
  <si>
    <t>Screen time category</t>
  </si>
  <si>
    <t>Average of Test_Scores</t>
  </si>
  <si>
    <t xml:space="preserve">2.Screen time vs. extracurricular activity trends </t>
  </si>
  <si>
    <t>Average of Extra_Curricular_Hours</t>
  </si>
  <si>
    <t xml:space="preserve">3.Age group-wise performance </t>
  </si>
  <si>
    <t>4.A scatter plot of Screen Time vs. Test Scores</t>
  </si>
  <si>
    <t>Screen Time</t>
  </si>
  <si>
    <t>Test Score</t>
  </si>
  <si>
    <r>
      <t>5.</t>
    </r>
    <r>
      <rPr>
        <sz val="11"/>
        <color theme="1"/>
        <rFont val="Calibri"/>
        <family val="2"/>
        <scheme val="minor"/>
      </rPr>
      <t xml:space="preserve"> </t>
    </r>
    <r>
      <rPr>
        <b/>
        <sz val="11"/>
        <color theme="1"/>
        <rFont val="Calibri"/>
        <family val="2"/>
        <scheme val="minor"/>
      </rPr>
      <t>A bar chart comparing average test scores across screen time ranges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</si>
</sst>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10" xfId="0" applyFill="1" applyBorder="1"/>
    <xf numFmtId="0" fontId="0" fillId="0" borderId="10" xfId="0" applyBorder="1"/>
    <xf numFmtId="0" fontId="16" fillId="0" borderId="0" xfId="0" applyFont="1"/>
    <xf numFmtId="0" fontId="16" fillId="0" borderId="0" xfId="0" applyFont="1" applyAlignment="1">
      <alignment vertical="center"/>
    </xf>
    <xf numFmtId="0" fontId="0" fillId="0" borderId="0" xfId="0" pivotButton="1"/>
    <xf numFmtId="0" fontId="0" fillId="0" borderId="0" xfId="0" applyAlignment="1">
      <alignment horizontal="left"/>
    </xf>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Category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47CE-48A1-B475-5CB4B4A90FCA}"/>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 time vs Extra</a:t>
            </a:r>
            <a:r>
              <a:rPr lang="en-US" b="1" baseline="0">
                <a:solidFill>
                  <a:schemeClr val="tx1"/>
                </a:solidFill>
              </a:rPr>
              <a:t> </a:t>
            </a:r>
            <a:r>
              <a:rPr lang="en-US" b="1">
                <a:solidFill>
                  <a:schemeClr val="tx1"/>
                </a:solidFill>
              </a:rPr>
              <a:t>curricular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Pivot_table!$A$20:$A$24</c:f>
              <c:strCache>
                <c:ptCount val="4"/>
                <c:pt idx="0">
                  <c:v>Low</c:v>
                </c:pt>
                <c:pt idx="1">
                  <c:v>Moderate</c:v>
                </c:pt>
                <c:pt idx="2">
                  <c:v>High</c:v>
                </c:pt>
                <c:pt idx="3">
                  <c:v>Extremely High</c:v>
                </c:pt>
              </c:strCache>
            </c:strRef>
          </c:cat>
          <c:val>
            <c:numRef>
              <c:f>Pivot_table!$B$20:$B$24</c:f>
              <c:numCache>
                <c:formatCode>General</c:formatCode>
                <c:ptCount val="4"/>
                <c:pt idx="0">
                  <c:v>1.4739130434782608</c:v>
                </c:pt>
                <c:pt idx="1">
                  <c:v>1.4307692307692308</c:v>
                </c:pt>
                <c:pt idx="2">
                  <c:v>1.592207792207792</c:v>
                </c:pt>
                <c:pt idx="3">
                  <c:v>1.8090909090909089</c:v>
                </c:pt>
              </c:numCache>
            </c:numRef>
          </c:val>
          <c:smooth val="0"/>
          <c:extLst>
            <c:ext xmlns:c16="http://schemas.microsoft.com/office/drawing/2014/chart" uri="{C3380CC4-5D6E-409C-BE32-E72D297353CC}">
              <c16:uniqueId val="{00000000-FD3E-46E8-A6B4-71269E1099E1}"/>
            </c:ext>
          </c:extLst>
        </c:ser>
        <c:dLbls>
          <c:showLegendKey val="0"/>
          <c:showVal val="0"/>
          <c:showCatName val="0"/>
          <c:showSerName val="0"/>
          <c:showPercent val="0"/>
          <c:showBubbleSize val="0"/>
        </c:dLbls>
        <c:marker val="1"/>
        <c:smooth val="0"/>
        <c:axId val="1020948688"/>
        <c:axId val="1020932368"/>
      </c:lineChart>
      <c:catAx>
        <c:axId val="10209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32368"/>
        <c:crosses val="autoZero"/>
        <c:auto val="1"/>
        <c:lblAlgn val="ctr"/>
        <c:lblOffset val="100"/>
        <c:noMultiLvlLbl val="0"/>
      </c:catAx>
      <c:valAx>
        <c:axId val="10209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Extracurricular Hours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Pivot_table!$A$39:$A$44</c:f>
              <c:strCache>
                <c:ptCount val="5"/>
                <c:pt idx="0">
                  <c:v>13</c:v>
                </c:pt>
                <c:pt idx="1">
                  <c:v>14</c:v>
                </c:pt>
                <c:pt idx="2">
                  <c:v>15</c:v>
                </c:pt>
                <c:pt idx="3">
                  <c:v>16</c:v>
                </c:pt>
                <c:pt idx="4">
                  <c:v>17</c:v>
                </c:pt>
              </c:strCache>
            </c:strRef>
          </c:cat>
          <c:val>
            <c:numRef>
              <c:f>Pivot_table!$B$39:$B$44</c:f>
              <c:numCache>
                <c:formatCode>General</c:formatCode>
                <c:ptCount val="5"/>
                <c:pt idx="0">
                  <c:v>71.955813953488374</c:v>
                </c:pt>
                <c:pt idx="1">
                  <c:v>72.585714285714303</c:v>
                </c:pt>
                <c:pt idx="2">
                  <c:v>70.959459459459453</c:v>
                </c:pt>
                <c:pt idx="3">
                  <c:v>70.591836734693871</c:v>
                </c:pt>
                <c:pt idx="4">
                  <c:v>68.441666666666663</c:v>
                </c:pt>
              </c:numCache>
            </c:numRef>
          </c:val>
          <c:smooth val="0"/>
          <c:extLst>
            <c:ext xmlns:c16="http://schemas.microsoft.com/office/drawing/2014/chart" uri="{C3380CC4-5D6E-409C-BE32-E72D297353CC}">
              <c16:uniqueId val="{00000000-B95C-457E-B1A5-45EB000850A8}"/>
            </c:ext>
          </c:extLst>
        </c:ser>
        <c:dLbls>
          <c:showLegendKey val="0"/>
          <c:showVal val="0"/>
          <c:showCatName val="0"/>
          <c:showSerName val="0"/>
          <c:showPercent val="0"/>
          <c:showBubbleSize val="0"/>
        </c:dLbls>
        <c:marker val="1"/>
        <c:smooth val="0"/>
        <c:axId val="820567136"/>
        <c:axId val="820568576"/>
      </c:lineChart>
      <c:catAx>
        <c:axId val="82056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8576"/>
        <c:crosses val="autoZero"/>
        <c:auto val="1"/>
        <c:lblAlgn val="ctr"/>
        <c:lblOffset val="100"/>
        <c:noMultiLvlLbl val="0"/>
      </c:catAx>
      <c:valAx>
        <c:axId val="8205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61716972878390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Pivot_table!$B$55</c:f>
              <c:strCache>
                <c:ptCount val="1"/>
                <c:pt idx="0">
                  <c:v>Test Score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Pivot_table!$A$56:$A$255</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c:v>
                </c:pt>
                <c:pt idx="54">
                  <c:v>4.5999999999999996</c:v>
                </c:pt>
                <c:pt idx="55">
                  <c:v>4.3</c:v>
                </c:pt>
                <c:pt idx="56">
                  <c:v>2.7</c:v>
                </c:pt>
                <c:pt idx="57">
                  <c:v>3.6</c:v>
                </c:pt>
                <c:pt idx="58">
                  <c:v>2.5</c:v>
                </c:pt>
                <c:pt idx="59">
                  <c:v>3.3</c:v>
                </c:pt>
                <c:pt idx="60">
                  <c:v>2.2000000000000002</c:v>
                </c:pt>
                <c:pt idx="61">
                  <c:v>6.4</c:v>
                </c:pt>
                <c:pt idx="62">
                  <c:v>4</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Pivot_table!$B$56:$B$255</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70.900000000000006</c:v>
                </c:pt>
                <c:pt idx="38">
                  <c:v>76.7</c:v>
                </c:pt>
                <c:pt idx="39">
                  <c:v>70.900000000000006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70.900000000000006</c:v>
                </c:pt>
                <c:pt idx="58">
                  <c:v>51.4</c:v>
                </c:pt>
                <c:pt idx="59">
                  <c:v>80</c:v>
                </c:pt>
                <c:pt idx="60">
                  <c:v>76.900000000000006</c:v>
                </c:pt>
                <c:pt idx="61">
                  <c:v>46.6</c:v>
                </c:pt>
                <c:pt idx="62">
                  <c:v>47.1</c:v>
                </c:pt>
                <c:pt idx="63">
                  <c:v>70.900000000000006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70.900000000000006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70.900000000000006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0-3309-4E2F-B5F6-CE19104F4CC9}"/>
            </c:ext>
          </c:extLst>
        </c:ser>
        <c:dLbls>
          <c:showLegendKey val="0"/>
          <c:showVal val="0"/>
          <c:showCatName val="0"/>
          <c:showSerName val="0"/>
          <c:showPercent val="0"/>
          <c:showBubbleSize val="0"/>
        </c:dLbls>
        <c:axId val="298395040"/>
        <c:axId val="298398880"/>
      </c:scatterChart>
      <c:valAx>
        <c:axId val="29839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layout>
            <c:manualLayout>
              <c:xMode val="edge"/>
              <c:yMode val="edge"/>
              <c:x val="0.4085796150481190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8880"/>
        <c:crosses val="autoZero"/>
        <c:crossBetween val="midCat"/>
      </c:valAx>
      <c:valAx>
        <c:axId val="29839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 Score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5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A9D5-4E4D-AA8E-85765B9C8F4E}"/>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Category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Low</c:v>
                </c:pt>
                <c:pt idx="1">
                  <c:v>Moderate</c:v>
                </c:pt>
                <c:pt idx="2">
                  <c:v>High</c:v>
                </c:pt>
                <c:pt idx="3">
                  <c:v>Extremely High</c:v>
                </c:pt>
              </c:strCache>
            </c:strRef>
          </c:cat>
          <c:val>
            <c:numRef>
              <c:f>Pivot_table!$B$4:$B$8</c:f>
              <c:numCache>
                <c:formatCode>General</c:formatCode>
                <c:ptCount val="4"/>
                <c:pt idx="0">
                  <c:v>70.882608695652166</c:v>
                </c:pt>
                <c:pt idx="1">
                  <c:v>68.935897435897431</c:v>
                </c:pt>
                <c:pt idx="2">
                  <c:v>72.88181818181819</c:v>
                </c:pt>
                <c:pt idx="3">
                  <c:v>71.081818181818193</c:v>
                </c:pt>
              </c:numCache>
            </c:numRef>
          </c:val>
          <c:extLst>
            <c:ext xmlns:c16="http://schemas.microsoft.com/office/drawing/2014/chart" uri="{C3380CC4-5D6E-409C-BE32-E72D297353CC}">
              <c16:uniqueId val="{00000000-8EF1-4AA9-A209-412227C05531}"/>
            </c:ext>
          </c:extLst>
        </c:ser>
        <c:dLbls>
          <c:dLblPos val="outEnd"/>
          <c:showLegendKey val="0"/>
          <c:showVal val="1"/>
          <c:showCatName val="0"/>
          <c:showSerName val="0"/>
          <c:showPercent val="0"/>
          <c:showBubbleSize val="0"/>
        </c:dLbls>
        <c:gapWidth val="219"/>
        <c:overlap val="-27"/>
        <c:axId val="1020979888"/>
        <c:axId val="1020988528"/>
      </c:barChart>
      <c:catAx>
        <c:axId val="102097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a:t>
                </a:r>
                <a:r>
                  <a:rPr lang="en-IN" baseline="0"/>
                  <a:t> Time Category</a:t>
                </a:r>
                <a:endParaRPr lang="en-IN"/>
              </a:p>
            </c:rich>
          </c:tx>
          <c:layout>
            <c:manualLayout>
              <c:xMode val="edge"/>
              <c:yMode val="edge"/>
              <c:x val="0.35994794400699909"/>
              <c:y val="0.889287455506417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88528"/>
        <c:crosses val="autoZero"/>
        <c:auto val="1"/>
        <c:lblAlgn val="ctr"/>
        <c:lblOffset val="100"/>
        <c:noMultiLvlLbl val="0"/>
      </c:catAx>
      <c:valAx>
        <c:axId val="102098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1111111111112E-2"/>
              <c:y val="0.25199093948872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 time vs Extra</a:t>
            </a:r>
            <a:r>
              <a:rPr lang="en-US" b="1" baseline="0">
                <a:solidFill>
                  <a:schemeClr val="tx1"/>
                </a:solidFill>
              </a:rPr>
              <a:t> </a:t>
            </a:r>
            <a:r>
              <a:rPr lang="en-US" b="1">
                <a:solidFill>
                  <a:schemeClr val="tx1"/>
                </a:solidFill>
              </a:rPr>
              <a:t>curricular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Pivot_table!$A$20:$A$24</c:f>
              <c:strCache>
                <c:ptCount val="4"/>
                <c:pt idx="0">
                  <c:v>Low</c:v>
                </c:pt>
                <c:pt idx="1">
                  <c:v>Moderate</c:v>
                </c:pt>
                <c:pt idx="2">
                  <c:v>High</c:v>
                </c:pt>
                <c:pt idx="3">
                  <c:v>Extremely High</c:v>
                </c:pt>
              </c:strCache>
            </c:strRef>
          </c:cat>
          <c:val>
            <c:numRef>
              <c:f>Pivot_table!$B$20:$B$24</c:f>
              <c:numCache>
                <c:formatCode>General</c:formatCode>
                <c:ptCount val="4"/>
                <c:pt idx="0">
                  <c:v>1.4739130434782608</c:v>
                </c:pt>
                <c:pt idx="1">
                  <c:v>1.4307692307692308</c:v>
                </c:pt>
                <c:pt idx="2">
                  <c:v>1.592207792207792</c:v>
                </c:pt>
                <c:pt idx="3">
                  <c:v>1.8090909090909089</c:v>
                </c:pt>
              </c:numCache>
            </c:numRef>
          </c:val>
          <c:smooth val="0"/>
          <c:extLst>
            <c:ext xmlns:c16="http://schemas.microsoft.com/office/drawing/2014/chart" uri="{C3380CC4-5D6E-409C-BE32-E72D297353CC}">
              <c16:uniqueId val="{00000001-73C3-49F7-916A-3815C7FFE826}"/>
            </c:ext>
          </c:extLst>
        </c:ser>
        <c:dLbls>
          <c:showLegendKey val="0"/>
          <c:showVal val="0"/>
          <c:showCatName val="0"/>
          <c:showSerName val="0"/>
          <c:showPercent val="0"/>
          <c:showBubbleSize val="0"/>
        </c:dLbls>
        <c:marker val="1"/>
        <c:smooth val="0"/>
        <c:axId val="1020948688"/>
        <c:axId val="1020932368"/>
      </c:lineChart>
      <c:catAx>
        <c:axId val="10209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32368"/>
        <c:crosses val="autoZero"/>
        <c:auto val="1"/>
        <c:lblAlgn val="ctr"/>
        <c:lblOffset val="100"/>
        <c:noMultiLvlLbl val="0"/>
      </c:catAx>
      <c:valAx>
        <c:axId val="10209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Extracurricular Hours</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94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CHALLENGE.xlsx]Pivot_table!PivotTable3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Pivot_table!$A$39:$A$44</c:f>
              <c:strCache>
                <c:ptCount val="5"/>
                <c:pt idx="0">
                  <c:v>13</c:v>
                </c:pt>
                <c:pt idx="1">
                  <c:v>14</c:v>
                </c:pt>
                <c:pt idx="2">
                  <c:v>15</c:v>
                </c:pt>
                <c:pt idx="3">
                  <c:v>16</c:v>
                </c:pt>
                <c:pt idx="4">
                  <c:v>17</c:v>
                </c:pt>
              </c:strCache>
            </c:strRef>
          </c:cat>
          <c:val>
            <c:numRef>
              <c:f>Pivot_table!$B$39:$B$44</c:f>
              <c:numCache>
                <c:formatCode>General</c:formatCode>
                <c:ptCount val="5"/>
                <c:pt idx="0">
                  <c:v>71.955813953488374</c:v>
                </c:pt>
                <c:pt idx="1">
                  <c:v>72.585714285714303</c:v>
                </c:pt>
                <c:pt idx="2">
                  <c:v>70.959459459459453</c:v>
                </c:pt>
                <c:pt idx="3">
                  <c:v>70.591836734693871</c:v>
                </c:pt>
                <c:pt idx="4">
                  <c:v>68.441666666666663</c:v>
                </c:pt>
              </c:numCache>
            </c:numRef>
          </c:val>
          <c:smooth val="0"/>
          <c:extLst>
            <c:ext xmlns:c16="http://schemas.microsoft.com/office/drawing/2014/chart" uri="{C3380CC4-5D6E-409C-BE32-E72D297353CC}">
              <c16:uniqueId val="{00000001-368F-43C1-A151-F5085A04336C}"/>
            </c:ext>
          </c:extLst>
        </c:ser>
        <c:dLbls>
          <c:showLegendKey val="0"/>
          <c:showVal val="0"/>
          <c:showCatName val="0"/>
          <c:showSerName val="0"/>
          <c:showPercent val="0"/>
          <c:showBubbleSize val="0"/>
        </c:dLbls>
        <c:marker val="1"/>
        <c:smooth val="0"/>
        <c:axId val="820567136"/>
        <c:axId val="820568576"/>
      </c:lineChart>
      <c:catAx>
        <c:axId val="82056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a:p>
                <a:pPr>
                  <a:defRPr/>
                </a:pPr>
                <a:endParaRPr lang="en-IN"/>
              </a:p>
            </c:rich>
          </c:tx>
          <c:layout>
            <c:manualLayout>
              <c:xMode val="edge"/>
              <c:yMode val="edge"/>
              <c:x val="0.3915015564914851"/>
              <c:y val="0.751508771929824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8576"/>
        <c:crosses val="autoZero"/>
        <c:auto val="1"/>
        <c:lblAlgn val="ctr"/>
        <c:lblOffset val="100"/>
        <c:noMultiLvlLbl val="0"/>
      </c:catAx>
      <c:valAx>
        <c:axId val="82056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Test Score</a:t>
                </a:r>
                <a:endParaRPr lang="en-IN"/>
              </a:p>
            </c:rich>
          </c:tx>
          <c:layout>
            <c:manualLayout>
              <c:xMode val="edge"/>
              <c:yMode val="edge"/>
              <c:x val="1.111099484657441E-2"/>
              <c:y val="0.22662909241607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6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Screen</a:t>
            </a:r>
            <a:r>
              <a:rPr lang="en-US" b="1" baseline="0">
                <a:solidFill>
                  <a:schemeClr val="tx1"/>
                </a:solidFill>
              </a:rPr>
              <a:t> Time vs Test Score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Pivot_table!$B$55</c:f>
              <c:strCache>
                <c:ptCount val="1"/>
                <c:pt idx="0">
                  <c:v>Test Score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Pivot_table!$A$56:$A$255</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4</c:v>
                </c:pt>
                <c:pt idx="54">
                  <c:v>4.5999999999999996</c:v>
                </c:pt>
                <c:pt idx="55">
                  <c:v>4.3</c:v>
                </c:pt>
                <c:pt idx="56">
                  <c:v>2.7</c:v>
                </c:pt>
                <c:pt idx="57">
                  <c:v>3.6</c:v>
                </c:pt>
                <c:pt idx="58">
                  <c:v>2.5</c:v>
                </c:pt>
                <c:pt idx="59">
                  <c:v>3.3</c:v>
                </c:pt>
                <c:pt idx="60">
                  <c:v>2.2000000000000002</c:v>
                </c:pt>
                <c:pt idx="61">
                  <c:v>6.4</c:v>
                </c:pt>
                <c:pt idx="62">
                  <c:v>4</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4</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0">
                  <c:v>4</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4</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Pivot_table!$B$56:$B$255</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70.900000000000006</c:v>
                </c:pt>
                <c:pt idx="38">
                  <c:v>76.7</c:v>
                </c:pt>
                <c:pt idx="39">
                  <c:v>70.900000000000006</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70.900000000000006</c:v>
                </c:pt>
                <c:pt idx="58">
                  <c:v>51.4</c:v>
                </c:pt>
                <c:pt idx="59">
                  <c:v>80</c:v>
                </c:pt>
                <c:pt idx="60">
                  <c:v>76.900000000000006</c:v>
                </c:pt>
                <c:pt idx="61">
                  <c:v>46.6</c:v>
                </c:pt>
                <c:pt idx="62">
                  <c:v>47.1</c:v>
                </c:pt>
                <c:pt idx="63">
                  <c:v>70.900000000000006</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70.900000000000006</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70.900000000000006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1-F695-4091-9F62-EB93A0BF3E33}"/>
            </c:ext>
          </c:extLst>
        </c:ser>
        <c:dLbls>
          <c:showLegendKey val="0"/>
          <c:showVal val="0"/>
          <c:showCatName val="0"/>
          <c:showSerName val="0"/>
          <c:showPercent val="0"/>
          <c:showBubbleSize val="0"/>
        </c:dLbls>
        <c:axId val="298395040"/>
        <c:axId val="298398880"/>
      </c:scatterChart>
      <c:valAx>
        <c:axId val="298395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Screen Time</a:t>
                </a:r>
              </a:p>
            </c:rich>
          </c:tx>
          <c:layout>
            <c:manualLayout>
              <c:xMode val="edge"/>
              <c:yMode val="edge"/>
              <c:x val="0.4085796150481190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8880"/>
        <c:crosses val="autoZero"/>
        <c:crossBetween val="midCat"/>
      </c:valAx>
      <c:valAx>
        <c:axId val="29839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Test Score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95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3.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63500</xdr:colOff>
      <xdr:row>0</xdr:row>
      <xdr:rowOff>165100</xdr:rowOff>
    </xdr:from>
    <xdr:to>
      <xdr:col>10</xdr:col>
      <xdr:colOff>368300</xdr:colOff>
      <xdr:row>13</xdr:row>
      <xdr:rowOff>88900</xdr:rowOff>
    </xdr:to>
    <xdr:graphicFrame macro="">
      <xdr:nvGraphicFramePr>
        <xdr:cNvPr id="2" name="Chart 1">
          <a:extLst>
            <a:ext uri="{FF2B5EF4-FFF2-40B4-BE49-F238E27FC236}">
              <a16:creationId xmlns:a16="http://schemas.microsoft.com/office/drawing/2014/main" id="{177ED08A-FCD4-F33F-959E-18B11E272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16</xdr:row>
      <xdr:rowOff>165100</xdr:rowOff>
    </xdr:from>
    <xdr:to>
      <xdr:col>10</xdr:col>
      <xdr:colOff>330200</xdr:colOff>
      <xdr:row>31</xdr:row>
      <xdr:rowOff>146050</xdr:rowOff>
    </xdr:to>
    <xdr:graphicFrame macro="">
      <xdr:nvGraphicFramePr>
        <xdr:cNvPr id="3" name="Chart 2">
          <a:extLst>
            <a:ext uri="{FF2B5EF4-FFF2-40B4-BE49-F238E27FC236}">
              <a16:creationId xmlns:a16="http://schemas.microsoft.com/office/drawing/2014/main" id="{DF07D80E-5896-C922-5040-6AF44F3EB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36</xdr:row>
      <xdr:rowOff>0</xdr:rowOff>
    </xdr:from>
    <xdr:to>
      <xdr:col>10</xdr:col>
      <xdr:colOff>342900</xdr:colOff>
      <xdr:row>50</xdr:row>
      <xdr:rowOff>165100</xdr:rowOff>
    </xdr:to>
    <xdr:graphicFrame macro="">
      <xdr:nvGraphicFramePr>
        <xdr:cNvPr id="4" name="Chart 3">
          <a:extLst>
            <a:ext uri="{FF2B5EF4-FFF2-40B4-BE49-F238E27FC236}">
              <a16:creationId xmlns:a16="http://schemas.microsoft.com/office/drawing/2014/main" id="{856D4329-918E-661B-4ACE-C3C540DBD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111124</xdr:colOff>
      <xdr:row>52</xdr:row>
      <xdr:rowOff>6350</xdr:rowOff>
    </xdr:from>
    <xdr:to>
      <xdr:col>11</xdr:col>
      <xdr:colOff>520699</xdr:colOff>
      <xdr:row>66</xdr:row>
      <xdr:rowOff>171450</xdr:rowOff>
    </xdr:to>
    <xdr:graphicFrame macro="">
      <xdr:nvGraphicFramePr>
        <xdr:cNvPr id="5" name="Chart 4">
          <a:extLst>
            <a:ext uri="{FF2B5EF4-FFF2-40B4-BE49-F238E27FC236}">
              <a16:creationId xmlns:a16="http://schemas.microsoft.com/office/drawing/2014/main" id="{DE59576F-C928-EBA6-53FD-DC46FDEE0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259</xdr:row>
      <xdr:rowOff>0</xdr:rowOff>
    </xdr:from>
    <xdr:to>
      <xdr:col>10</xdr:col>
      <xdr:colOff>304800</xdr:colOff>
      <xdr:row>271</xdr:row>
      <xdr:rowOff>107950</xdr:rowOff>
    </xdr:to>
    <xdr:graphicFrame macro="">
      <xdr:nvGraphicFramePr>
        <xdr:cNvPr id="6" name="Chart 5">
          <a:extLst>
            <a:ext uri="{FF2B5EF4-FFF2-40B4-BE49-F238E27FC236}">
              <a16:creationId xmlns:a16="http://schemas.microsoft.com/office/drawing/2014/main" id="{1CAD61A6-9E99-4126-8367-AAD7D527B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171450</xdr:colOff>
      <xdr:row>2</xdr:row>
      <xdr:rowOff>139701</xdr:rowOff>
    </xdr:from>
    <xdr:to>
      <xdr:col>14</xdr:col>
      <xdr:colOff>171450</xdr:colOff>
      <xdr:row>12</xdr:row>
      <xdr:rowOff>19051</xdr:rowOff>
    </xdr:to>
    <mc:AlternateContent xmlns:mc="http://schemas.openxmlformats.org/markup-compatibility/2006" xmlns:a14="http://schemas.microsoft.com/office/drawing/2010/main">
      <mc:Choice Requires="a14">
        <xdr:graphicFrame macro="">
          <xdr:nvGraphicFramePr>
            <xdr:cNvPr id="7" name="Age">
              <a:extLst>
                <a:ext uri="{FF2B5EF4-FFF2-40B4-BE49-F238E27FC236}">
                  <a16:creationId xmlns:a16="http://schemas.microsoft.com/office/drawing/2014/main" id="{666F8EF9-93FB-4C3E-9F1A-CE4CDB0AF70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823200" y="508001"/>
              <a:ext cx="182880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527050</xdr:colOff>
      <xdr:row>260</xdr:row>
      <xdr:rowOff>88901</xdr:rowOff>
    </xdr:from>
    <xdr:to>
      <xdr:col>14</xdr:col>
      <xdr:colOff>527050</xdr:colOff>
      <xdr:row>268</xdr:row>
      <xdr:rowOff>120651</xdr:rowOff>
    </xdr:to>
    <mc:AlternateContent xmlns:mc="http://schemas.openxmlformats.org/markup-compatibility/2006" xmlns:a14="http://schemas.microsoft.com/office/drawing/2010/main">
      <mc:Choice Requires="a14">
        <xdr:graphicFrame macro="">
          <xdr:nvGraphicFramePr>
            <xdr:cNvPr id="9" name="Screen Time Category">
              <a:extLst>
                <a:ext uri="{FF2B5EF4-FFF2-40B4-BE49-F238E27FC236}">
                  <a16:creationId xmlns:a16="http://schemas.microsoft.com/office/drawing/2014/main" id="{80789624-9493-24F8-E399-9E30D6D2B033}"/>
                </a:ext>
              </a:extLst>
            </xdr:cNvPr>
            <xdr:cNvGraphicFramePr/>
          </xdr:nvGraphicFramePr>
          <xdr:xfrm>
            <a:off x="0" y="0"/>
            <a:ext cx="0" cy="0"/>
          </xdr:xfrm>
          <a:graphic>
            <a:graphicData uri="http://schemas.microsoft.com/office/drawing/2010/slicer">
              <sle:slicer xmlns:sle="http://schemas.microsoft.com/office/drawing/2010/slicer" name="Screen Time Category"/>
            </a:graphicData>
          </a:graphic>
        </xdr:graphicFrame>
      </mc:Choice>
      <mc:Fallback xmlns="">
        <xdr:sp macro="" textlink="">
          <xdr:nvSpPr>
            <xdr:cNvPr id="0" name=""/>
            <xdr:cNvSpPr>
              <a:spLocks noTextEdit="1"/>
            </xdr:cNvSpPr>
          </xdr:nvSpPr>
          <xdr:spPr>
            <a:xfrm>
              <a:off x="8178800" y="47967901"/>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165100</xdr:colOff>
      <xdr:row>36</xdr:row>
      <xdr:rowOff>107951</xdr:rowOff>
    </xdr:from>
    <xdr:to>
      <xdr:col>14</xdr:col>
      <xdr:colOff>165100</xdr:colOff>
      <xdr:row>46</xdr:row>
      <xdr:rowOff>38101</xdr:rowOff>
    </xdr:to>
    <mc:AlternateContent xmlns:mc="http://schemas.openxmlformats.org/markup-compatibility/2006" xmlns:a14="http://schemas.microsoft.com/office/drawing/2010/main">
      <mc:Choice Requires="a14">
        <xdr:graphicFrame macro="">
          <xdr:nvGraphicFramePr>
            <xdr:cNvPr id="10" name="Performance Category">
              <a:extLst>
                <a:ext uri="{FF2B5EF4-FFF2-40B4-BE49-F238E27FC236}">
                  <a16:creationId xmlns:a16="http://schemas.microsoft.com/office/drawing/2014/main" id="{9CF1F1F5-8EB9-1250-6A88-A8DF7C56BB00}"/>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mlns="">
        <xdr:sp macro="" textlink="">
          <xdr:nvSpPr>
            <xdr:cNvPr id="0" name=""/>
            <xdr:cNvSpPr>
              <a:spLocks noTextEdit="1"/>
            </xdr:cNvSpPr>
          </xdr:nvSpPr>
          <xdr:spPr>
            <a:xfrm>
              <a:off x="7816850" y="6737351"/>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317500</xdr:colOff>
      <xdr:row>0</xdr:row>
      <xdr:rowOff>76200</xdr:rowOff>
    </xdr:from>
    <xdr:to>
      <xdr:col>17</xdr:col>
      <xdr:colOff>260350</xdr:colOff>
      <xdr:row>32</xdr:row>
      <xdr:rowOff>88900</xdr:rowOff>
    </xdr:to>
    <xdr:sp macro="" textlink="">
      <xdr:nvSpPr>
        <xdr:cNvPr id="2" name="Rectangle: Rounded Corners 1">
          <a:extLst>
            <a:ext uri="{FF2B5EF4-FFF2-40B4-BE49-F238E27FC236}">
              <a16:creationId xmlns:a16="http://schemas.microsoft.com/office/drawing/2014/main" id="{C17F4C27-4E25-986C-EAD5-38C0301E2E36}"/>
            </a:ext>
          </a:extLst>
        </xdr:cNvPr>
        <xdr:cNvSpPr/>
      </xdr:nvSpPr>
      <xdr:spPr>
        <a:xfrm>
          <a:off x="317500" y="76200"/>
          <a:ext cx="10378017" cy="5770033"/>
        </a:xfrm>
        <a:prstGeom prst="roundRect">
          <a:avLst>
            <a:gd name="adj" fmla="val 7312"/>
          </a:avLst>
        </a:prstGeom>
        <a:solidFill>
          <a:schemeClr val="accent3">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539750</xdr:colOff>
      <xdr:row>0</xdr:row>
      <xdr:rowOff>165100</xdr:rowOff>
    </xdr:from>
    <xdr:to>
      <xdr:col>17</xdr:col>
      <xdr:colOff>137583</xdr:colOff>
      <xdr:row>5</xdr:row>
      <xdr:rowOff>10584</xdr:rowOff>
    </xdr:to>
    <xdr:sp macro="" textlink="">
      <xdr:nvSpPr>
        <xdr:cNvPr id="3" name="Rectangle: Rounded Corners 2">
          <a:extLst>
            <a:ext uri="{FF2B5EF4-FFF2-40B4-BE49-F238E27FC236}">
              <a16:creationId xmlns:a16="http://schemas.microsoft.com/office/drawing/2014/main" id="{413FF3AA-304A-55DE-5F59-749CDC145118}"/>
            </a:ext>
          </a:extLst>
        </xdr:cNvPr>
        <xdr:cNvSpPr/>
      </xdr:nvSpPr>
      <xdr:spPr>
        <a:xfrm>
          <a:off x="2381250" y="165100"/>
          <a:ext cx="8191500" cy="745067"/>
        </a:xfrm>
        <a:prstGeom prst="roundRect">
          <a:avLst>
            <a:gd name="adj" fmla="val 36022"/>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Student Performance Analysis</a:t>
          </a:r>
        </a:p>
      </xdr:txBody>
    </xdr:sp>
    <xdr:clientData/>
  </xdr:twoCellAnchor>
  <xdr:twoCellAnchor>
    <xdr:from>
      <xdr:col>3</xdr:col>
      <xdr:colOff>603250</xdr:colOff>
      <xdr:row>10</xdr:row>
      <xdr:rowOff>44450</xdr:rowOff>
    </xdr:from>
    <xdr:to>
      <xdr:col>10</xdr:col>
      <xdr:colOff>260350</xdr:colOff>
      <xdr:row>20</xdr:row>
      <xdr:rowOff>95250</xdr:rowOff>
    </xdr:to>
    <xdr:sp macro="" textlink="">
      <xdr:nvSpPr>
        <xdr:cNvPr id="5" name="Rectangle 4">
          <a:extLst>
            <a:ext uri="{FF2B5EF4-FFF2-40B4-BE49-F238E27FC236}">
              <a16:creationId xmlns:a16="http://schemas.microsoft.com/office/drawing/2014/main" id="{3FA36CDC-81B5-2E04-924D-2A7654A608B7}"/>
            </a:ext>
          </a:extLst>
        </xdr:cNvPr>
        <xdr:cNvSpPr/>
      </xdr:nvSpPr>
      <xdr:spPr>
        <a:xfrm>
          <a:off x="2432050" y="1885950"/>
          <a:ext cx="3924300" cy="18923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4</xdr:col>
      <xdr:colOff>25400</xdr:colOff>
      <xdr:row>5</xdr:row>
      <xdr:rowOff>95250</xdr:rowOff>
    </xdr:from>
    <xdr:to>
      <xdr:col>6</xdr:col>
      <xdr:colOff>304800</xdr:colOff>
      <xdr:row>9</xdr:row>
      <xdr:rowOff>133350</xdr:rowOff>
    </xdr:to>
    <xdr:sp macro="" textlink="">
      <xdr:nvSpPr>
        <xdr:cNvPr id="6" name="Rectangle: Rounded Corners 5">
          <a:extLst>
            <a:ext uri="{FF2B5EF4-FFF2-40B4-BE49-F238E27FC236}">
              <a16:creationId xmlns:a16="http://schemas.microsoft.com/office/drawing/2014/main" id="{4AFEF21A-812E-EDF5-D8A9-218DDA0AFB76}"/>
            </a:ext>
          </a:extLst>
        </xdr:cNvPr>
        <xdr:cNvSpPr/>
      </xdr:nvSpPr>
      <xdr:spPr>
        <a:xfrm>
          <a:off x="2463800" y="101600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Total Student</a:t>
          </a:r>
        </a:p>
        <a:p>
          <a:pPr algn="ctr"/>
          <a:r>
            <a:rPr lang="en-IN" sz="1600" b="1">
              <a:solidFill>
                <a:schemeClr val="bg1"/>
              </a:solidFill>
            </a:rPr>
            <a:t>200</a:t>
          </a:r>
        </a:p>
      </xdr:txBody>
    </xdr:sp>
    <xdr:clientData/>
  </xdr:twoCellAnchor>
  <xdr:twoCellAnchor>
    <xdr:from>
      <xdr:col>6</xdr:col>
      <xdr:colOff>414338</xdr:colOff>
      <xdr:row>5</xdr:row>
      <xdr:rowOff>95250</xdr:rowOff>
    </xdr:from>
    <xdr:to>
      <xdr:col>9</xdr:col>
      <xdr:colOff>84138</xdr:colOff>
      <xdr:row>9</xdr:row>
      <xdr:rowOff>133350</xdr:rowOff>
    </xdr:to>
    <xdr:sp macro="" textlink="">
      <xdr:nvSpPr>
        <xdr:cNvPr id="7" name="Rectangle: Rounded Corners 6">
          <a:extLst>
            <a:ext uri="{FF2B5EF4-FFF2-40B4-BE49-F238E27FC236}">
              <a16:creationId xmlns:a16="http://schemas.microsoft.com/office/drawing/2014/main" id="{E3509D32-032C-4D05-BBD4-9D0387A7460D}"/>
            </a:ext>
          </a:extLst>
        </xdr:cNvPr>
        <xdr:cNvSpPr/>
      </xdr:nvSpPr>
      <xdr:spPr>
        <a:xfrm>
          <a:off x="4071938" y="101600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Class Average</a:t>
          </a:r>
        </a:p>
        <a:p>
          <a:pPr algn="ctr"/>
          <a:r>
            <a:rPr lang="en-IN" sz="1600" b="1">
              <a:solidFill>
                <a:schemeClr val="bg1"/>
              </a:solidFill>
            </a:rPr>
            <a:t>70.9</a:t>
          </a:r>
        </a:p>
      </xdr:txBody>
    </xdr:sp>
    <xdr:clientData/>
  </xdr:twoCellAnchor>
  <xdr:twoCellAnchor>
    <xdr:from>
      <xdr:col>9</xdr:col>
      <xdr:colOff>193675</xdr:colOff>
      <xdr:row>5</xdr:row>
      <xdr:rowOff>88900</xdr:rowOff>
    </xdr:from>
    <xdr:to>
      <xdr:col>11</xdr:col>
      <xdr:colOff>473075</xdr:colOff>
      <xdr:row>9</xdr:row>
      <xdr:rowOff>127000</xdr:rowOff>
    </xdr:to>
    <xdr:sp macro="" textlink="">
      <xdr:nvSpPr>
        <xdr:cNvPr id="8" name="Rectangle: Rounded Corners 7">
          <a:extLst>
            <a:ext uri="{FF2B5EF4-FFF2-40B4-BE49-F238E27FC236}">
              <a16:creationId xmlns:a16="http://schemas.microsoft.com/office/drawing/2014/main" id="{7BA1AA27-6695-46E6-91F1-1579D0181B71}"/>
            </a:ext>
          </a:extLst>
        </xdr:cNvPr>
        <xdr:cNvSpPr/>
      </xdr:nvSpPr>
      <xdr:spPr>
        <a:xfrm>
          <a:off x="5680075" y="100965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Max</a:t>
          </a:r>
          <a:r>
            <a:rPr lang="en-IN" sz="1600" b="1" baseline="0">
              <a:solidFill>
                <a:schemeClr val="bg1"/>
              </a:solidFill>
            </a:rPr>
            <a:t> Marks</a:t>
          </a:r>
        </a:p>
        <a:p>
          <a:pPr algn="ctr"/>
          <a:r>
            <a:rPr lang="en-IN" sz="1600" b="1" baseline="0">
              <a:solidFill>
                <a:schemeClr val="bg1"/>
              </a:solidFill>
            </a:rPr>
            <a:t>100</a:t>
          </a:r>
          <a:endParaRPr lang="en-IN" sz="1600" b="1">
            <a:solidFill>
              <a:schemeClr val="bg1"/>
            </a:solidFill>
          </a:endParaRPr>
        </a:p>
      </xdr:txBody>
    </xdr:sp>
    <xdr:clientData/>
  </xdr:twoCellAnchor>
  <xdr:twoCellAnchor>
    <xdr:from>
      <xdr:col>11</xdr:col>
      <xdr:colOff>582612</xdr:colOff>
      <xdr:row>5</xdr:row>
      <xdr:rowOff>88900</xdr:rowOff>
    </xdr:from>
    <xdr:to>
      <xdr:col>14</xdr:col>
      <xdr:colOff>252412</xdr:colOff>
      <xdr:row>9</xdr:row>
      <xdr:rowOff>127000</xdr:rowOff>
    </xdr:to>
    <xdr:sp macro="" textlink="">
      <xdr:nvSpPr>
        <xdr:cNvPr id="9" name="Rectangle: Rounded Corners 8">
          <a:extLst>
            <a:ext uri="{FF2B5EF4-FFF2-40B4-BE49-F238E27FC236}">
              <a16:creationId xmlns:a16="http://schemas.microsoft.com/office/drawing/2014/main" id="{94430207-104B-477B-855F-A4B8DA11ABC2}"/>
            </a:ext>
          </a:extLst>
        </xdr:cNvPr>
        <xdr:cNvSpPr/>
      </xdr:nvSpPr>
      <xdr:spPr>
        <a:xfrm>
          <a:off x="7288212" y="1009650"/>
          <a:ext cx="149860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Min Marks</a:t>
          </a:r>
        </a:p>
        <a:p>
          <a:pPr algn="ctr"/>
          <a:r>
            <a:rPr lang="en-IN" sz="1600" b="1">
              <a:solidFill>
                <a:schemeClr val="bg1"/>
              </a:solidFill>
            </a:rPr>
            <a:t>34.3</a:t>
          </a:r>
        </a:p>
      </xdr:txBody>
    </xdr:sp>
    <xdr:clientData/>
  </xdr:twoCellAnchor>
  <xdr:twoCellAnchor>
    <xdr:from>
      <xdr:col>14</xdr:col>
      <xdr:colOff>361950</xdr:colOff>
      <xdr:row>5</xdr:row>
      <xdr:rowOff>82550</xdr:rowOff>
    </xdr:from>
    <xdr:to>
      <xdr:col>17</xdr:col>
      <xdr:colOff>114300</xdr:colOff>
      <xdr:row>9</xdr:row>
      <xdr:rowOff>120650</xdr:rowOff>
    </xdr:to>
    <xdr:sp macro="" textlink="">
      <xdr:nvSpPr>
        <xdr:cNvPr id="10" name="Rectangle: Rounded Corners 9">
          <a:extLst>
            <a:ext uri="{FF2B5EF4-FFF2-40B4-BE49-F238E27FC236}">
              <a16:creationId xmlns:a16="http://schemas.microsoft.com/office/drawing/2014/main" id="{D422BD5F-7F49-4A61-9113-3FA40D2F9083}"/>
            </a:ext>
          </a:extLst>
        </xdr:cNvPr>
        <xdr:cNvSpPr/>
      </xdr:nvSpPr>
      <xdr:spPr>
        <a:xfrm>
          <a:off x="8896350" y="1003300"/>
          <a:ext cx="1581150" cy="7747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bg1"/>
              </a:solidFill>
            </a:rPr>
            <a:t>Avg</a:t>
          </a:r>
          <a:r>
            <a:rPr lang="en-IN" sz="1500" b="1" baseline="0">
              <a:solidFill>
                <a:schemeClr val="bg1"/>
              </a:solidFill>
            </a:rPr>
            <a:t> Screen Time</a:t>
          </a:r>
        </a:p>
        <a:p>
          <a:pPr algn="ctr"/>
          <a:r>
            <a:rPr lang="en-IN" sz="1500" b="1" baseline="0">
              <a:solidFill>
                <a:schemeClr val="bg1"/>
              </a:solidFill>
            </a:rPr>
            <a:t>4h</a:t>
          </a:r>
          <a:endParaRPr lang="en-IN" sz="1500" b="1">
            <a:solidFill>
              <a:schemeClr val="bg1"/>
            </a:solidFill>
          </a:endParaRPr>
        </a:p>
      </xdr:txBody>
    </xdr:sp>
    <xdr:clientData/>
  </xdr:twoCellAnchor>
  <xdr:twoCellAnchor>
    <xdr:from>
      <xdr:col>3</xdr:col>
      <xdr:colOff>603250</xdr:colOff>
      <xdr:row>20</xdr:row>
      <xdr:rowOff>165100</xdr:rowOff>
    </xdr:from>
    <xdr:to>
      <xdr:col>10</xdr:col>
      <xdr:colOff>266700</xdr:colOff>
      <xdr:row>31</xdr:row>
      <xdr:rowOff>90714</xdr:rowOff>
    </xdr:to>
    <xdr:sp macro="" textlink="">
      <xdr:nvSpPr>
        <xdr:cNvPr id="12" name="Rectangle 11">
          <a:extLst>
            <a:ext uri="{FF2B5EF4-FFF2-40B4-BE49-F238E27FC236}">
              <a16:creationId xmlns:a16="http://schemas.microsoft.com/office/drawing/2014/main" id="{A8869EE2-1CA1-4FD1-A420-69A35DBB47F5}"/>
            </a:ext>
          </a:extLst>
        </xdr:cNvPr>
        <xdr:cNvSpPr/>
      </xdr:nvSpPr>
      <xdr:spPr>
        <a:xfrm>
          <a:off x="2426607" y="3793671"/>
          <a:ext cx="3917950" cy="192132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349250</xdr:colOff>
      <xdr:row>10</xdr:row>
      <xdr:rowOff>44450</xdr:rowOff>
    </xdr:from>
    <xdr:to>
      <xdr:col>17</xdr:col>
      <xdr:colOff>133350</xdr:colOff>
      <xdr:row>20</xdr:row>
      <xdr:rowOff>95250</xdr:rowOff>
    </xdr:to>
    <xdr:sp macro="" textlink="">
      <xdr:nvSpPr>
        <xdr:cNvPr id="14" name="Rectangle 13">
          <a:extLst>
            <a:ext uri="{FF2B5EF4-FFF2-40B4-BE49-F238E27FC236}">
              <a16:creationId xmlns:a16="http://schemas.microsoft.com/office/drawing/2014/main" id="{F86C6623-28EC-4EF5-A653-99651AD7C0D6}"/>
            </a:ext>
          </a:extLst>
        </xdr:cNvPr>
        <xdr:cNvSpPr/>
      </xdr:nvSpPr>
      <xdr:spPr>
        <a:xfrm>
          <a:off x="6445250" y="1885950"/>
          <a:ext cx="4051300" cy="18923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361950</xdr:colOff>
      <xdr:row>20</xdr:row>
      <xdr:rowOff>158750</xdr:rowOff>
    </xdr:from>
    <xdr:to>
      <xdr:col>17</xdr:col>
      <xdr:colOff>146050</xdr:colOff>
      <xdr:row>31</xdr:row>
      <xdr:rowOff>90714</xdr:rowOff>
    </xdr:to>
    <xdr:sp macro="" textlink="">
      <xdr:nvSpPr>
        <xdr:cNvPr id="15" name="Rectangle 14">
          <a:extLst>
            <a:ext uri="{FF2B5EF4-FFF2-40B4-BE49-F238E27FC236}">
              <a16:creationId xmlns:a16="http://schemas.microsoft.com/office/drawing/2014/main" id="{42A9D332-5A82-410D-A6EB-8110371E25A2}"/>
            </a:ext>
          </a:extLst>
        </xdr:cNvPr>
        <xdr:cNvSpPr/>
      </xdr:nvSpPr>
      <xdr:spPr>
        <a:xfrm>
          <a:off x="6439807" y="3787321"/>
          <a:ext cx="4038600" cy="1927679"/>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444500</xdr:colOff>
      <xdr:row>10</xdr:row>
      <xdr:rowOff>44450</xdr:rowOff>
    </xdr:from>
    <xdr:to>
      <xdr:col>3</xdr:col>
      <xdr:colOff>495300</xdr:colOff>
      <xdr:row>31</xdr:row>
      <xdr:rowOff>95250</xdr:rowOff>
    </xdr:to>
    <xdr:sp macro="" textlink="">
      <xdr:nvSpPr>
        <xdr:cNvPr id="16" name="Rectangle: Rounded Corners 15">
          <a:extLst>
            <a:ext uri="{FF2B5EF4-FFF2-40B4-BE49-F238E27FC236}">
              <a16:creationId xmlns:a16="http://schemas.microsoft.com/office/drawing/2014/main" id="{5908888D-A6B7-470F-9721-45B62EA55A84}"/>
            </a:ext>
          </a:extLst>
        </xdr:cNvPr>
        <xdr:cNvSpPr/>
      </xdr:nvSpPr>
      <xdr:spPr>
        <a:xfrm>
          <a:off x="444500" y="1885950"/>
          <a:ext cx="1879600" cy="3917950"/>
        </a:xfrm>
        <a:prstGeom prst="roundRect">
          <a:avLst>
            <a:gd name="adj" fmla="val 4046"/>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4</xdr:col>
      <xdr:colOff>31750</xdr:colOff>
      <xdr:row>10</xdr:row>
      <xdr:rowOff>82550</xdr:rowOff>
    </xdr:from>
    <xdr:to>
      <xdr:col>10</xdr:col>
      <xdr:colOff>215900</xdr:colOff>
      <xdr:row>20</xdr:row>
      <xdr:rowOff>44450</xdr:rowOff>
    </xdr:to>
    <xdr:graphicFrame macro="">
      <xdr:nvGraphicFramePr>
        <xdr:cNvPr id="17" name="Chart 16">
          <a:extLst>
            <a:ext uri="{FF2B5EF4-FFF2-40B4-BE49-F238E27FC236}">
              <a16:creationId xmlns:a16="http://schemas.microsoft.com/office/drawing/2014/main" id="{3663D626-3799-4E4D-8DAE-6D3F08E6E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393700</xdr:colOff>
      <xdr:row>10</xdr:row>
      <xdr:rowOff>82550</xdr:rowOff>
    </xdr:from>
    <xdr:to>
      <xdr:col>17</xdr:col>
      <xdr:colOff>82550</xdr:colOff>
      <xdr:row>20</xdr:row>
      <xdr:rowOff>38100</xdr:rowOff>
    </xdr:to>
    <xdr:graphicFrame macro="">
      <xdr:nvGraphicFramePr>
        <xdr:cNvPr id="18" name="Chart 17">
          <a:extLst>
            <a:ext uri="{FF2B5EF4-FFF2-40B4-BE49-F238E27FC236}">
              <a16:creationId xmlns:a16="http://schemas.microsoft.com/office/drawing/2014/main" id="{B3D019EB-00C4-4AFF-8963-E4373C18C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21</xdr:row>
      <xdr:rowOff>31749</xdr:rowOff>
    </xdr:from>
    <xdr:to>
      <xdr:col>10</xdr:col>
      <xdr:colOff>209550</xdr:colOff>
      <xdr:row>31</xdr:row>
      <xdr:rowOff>36284</xdr:rowOff>
    </xdr:to>
    <xdr:graphicFrame macro="">
      <xdr:nvGraphicFramePr>
        <xdr:cNvPr id="19" name="Chart 18">
          <a:extLst>
            <a:ext uri="{FF2B5EF4-FFF2-40B4-BE49-F238E27FC236}">
              <a16:creationId xmlns:a16="http://schemas.microsoft.com/office/drawing/2014/main" id="{C7379AE3-B12F-49C3-AFE5-8A7E6136F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419100</xdr:colOff>
      <xdr:row>21</xdr:row>
      <xdr:rowOff>19049</xdr:rowOff>
    </xdr:from>
    <xdr:to>
      <xdr:col>17</xdr:col>
      <xdr:colOff>101600</xdr:colOff>
      <xdr:row>31</xdr:row>
      <xdr:rowOff>36285</xdr:rowOff>
    </xdr:to>
    <xdr:graphicFrame macro="">
      <xdr:nvGraphicFramePr>
        <xdr:cNvPr id="20" name="Chart 19">
          <a:extLst>
            <a:ext uri="{FF2B5EF4-FFF2-40B4-BE49-F238E27FC236}">
              <a16:creationId xmlns:a16="http://schemas.microsoft.com/office/drawing/2014/main" id="{F74D5CC4-06AE-4C89-8FDD-0718906F6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33726</xdr:colOff>
      <xdr:row>0</xdr:row>
      <xdr:rowOff>0</xdr:rowOff>
    </xdr:from>
    <xdr:to>
      <xdr:col>4</xdr:col>
      <xdr:colOff>581793</xdr:colOff>
      <xdr:row>12</xdr:row>
      <xdr:rowOff>10582</xdr:rowOff>
    </xdr:to>
    <xdr:pic>
      <xdr:nvPicPr>
        <xdr:cNvPr id="21" name="Picture 20">
          <a:extLst>
            <a:ext uri="{FF2B5EF4-FFF2-40B4-BE49-F238E27FC236}">
              <a16:creationId xmlns:a16="http://schemas.microsoft.com/office/drawing/2014/main" id="{21385BDA-5FE1-EE38-ED72-DC7BD78C0C6B}"/>
            </a:ext>
          </a:extLst>
        </xdr:cNvPr>
        <xdr:cNvPicPr>
          <a:picLocks noChangeAspect="1"/>
        </xdr:cNvPicPr>
      </xdr:nvPicPr>
      <xdr:blipFill>
        <a:blip xmlns:r="http://schemas.openxmlformats.org/officeDocument/2006/relationships" r:embed="rId5"/>
        <a:stretch>
          <a:fillRect/>
        </a:stretch>
      </xdr:blipFill>
      <xdr:spPr>
        <a:xfrm>
          <a:off x="33726" y="0"/>
          <a:ext cx="3003400" cy="2169582"/>
        </a:xfrm>
        <a:prstGeom prst="rect">
          <a:avLst/>
        </a:prstGeom>
      </xdr:spPr>
    </xdr:pic>
    <xdr:clientData/>
  </xdr:twoCellAnchor>
  <xdr:twoCellAnchor editAs="oneCell">
    <xdr:from>
      <xdr:col>0</xdr:col>
      <xdr:colOff>469900</xdr:colOff>
      <xdr:row>10</xdr:row>
      <xdr:rowOff>69850</xdr:rowOff>
    </xdr:from>
    <xdr:to>
      <xdr:col>3</xdr:col>
      <xdr:colOff>469900</xdr:colOff>
      <xdr:row>15</xdr:row>
      <xdr:rowOff>127000</xdr:rowOff>
    </xdr:to>
    <mc:AlternateContent xmlns:mc="http://schemas.openxmlformats.org/markup-compatibility/2006" xmlns:a14="http://schemas.microsoft.com/office/drawing/2010/main">
      <mc:Choice Requires="a14">
        <xdr:graphicFrame macro="">
          <xdr:nvGraphicFramePr>
            <xdr:cNvPr id="22" name="Age 1">
              <a:extLst>
                <a:ext uri="{FF2B5EF4-FFF2-40B4-BE49-F238E27FC236}">
                  <a16:creationId xmlns:a16="http://schemas.microsoft.com/office/drawing/2014/main" id="{9ECCD357-39A2-43BD-A80B-1739A50115D1}"/>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69900" y="1869017"/>
              <a:ext cx="1841500" cy="956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15</xdr:row>
      <xdr:rowOff>152400</xdr:rowOff>
    </xdr:from>
    <xdr:to>
      <xdr:col>3</xdr:col>
      <xdr:colOff>469900</xdr:colOff>
      <xdr:row>24</xdr:row>
      <xdr:rowOff>0</xdr:rowOff>
    </xdr:to>
    <mc:AlternateContent xmlns:mc="http://schemas.openxmlformats.org/markup-compatibility/2006" xmlns:a14="http://schemas.microsoft.com/office/drawing/2010/main">
      <mc:Choice Requires="a14">
        <xdr:graphicFrame macro="">
          <xdr:nvGraphicFramePr>
            <xdr:cNvPr id="23" name="Screen Time Category 1">
              <a:extLst>
                <a:ext uri="{FF2B5EF4-FFF2-40B4-BE49-F238E27FC236}">
                  <a16:creationId xmlns:a16="http://schemas.microsoft.com/office/drawing/2014/main" id="{DABDD064-6028-493D-84C5-C069F0B02257}"/>
                </a:ext>
              </a:extLst>
            </xdr:cNvPr>
            <xdr:cNvGraphicFramePr/>
          </xdr:nvGraphicFramePr>
          <xdr:xfrm>
            <a:off x="0" y="0"/>
            <a:ext cx="0" cy="0"/>
          </xdr:xfrm>
          <a:graphic>
            <a:graphicData uri="http://schemas.microsoft.com/office/drawing/2010/slicer">
              <sle:slicer xmlns:sle="http://schemas.microsoft.com/office/drawing/2010/slicer" name="Screen Time Category 1"/>
            </a:graphicData>
          </a:graphic>
        </xdr:graphicFrame>
      </mc:Choice>
      <mc:Fallback xmlns="">
        <xdr:sp macro="" textlink="">
          <xdr:nvSpPr>
            <xdr:cNvPr id="0" name=""/>
            <xdr:cNvSpPr>
              <a:spLocks noTextEdit="1"/>
            </xdr:cNvSpPr>
          </xdr:nvSpPr>
          <xdr:spPr>
            <a:xfrm>
              <a:off x="469900" y="2851150"/>
              <a:ext cx="18415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469900</xdr:colOff>
      <xdr:row>24</xdr:row>
      <xdr:rowOff>25400</xdr:rowOff>
    </xdr:from>
    <xdr:to>
      <xdr:col>3</xdr:col>
      <xdr:colOff>469900</xdr:colOff>
      <xdr:row>31</xdr:row>
      <xdr:rowOff>76200</xdr:rowOff>
    </xdr:to>
    <mc:AlternateContent xmlns:mc="http://schemas.openxmlformats.org/markup-compatibility/2006" xmlns:a14="http://schemas.microsoft.com/office/drawing/2010/main">
      <mc:Choice Requires="a14">
        <xdr:graphicFrame macro="">
          <xdr:nvGraphicFramePr>
            <xdr:cNvPr id="24" name="Performance Category 1">
              <a:extLst>
                <a:ext uri="{FF2B5EF4-FFF2-40B4-BE49-F238E27FC236}">
                  <a16:creationId xmlns:a16="http://schemas.microsoft.com/office/drawing/2014/main" id="{ACC929B3-429C-40DE-A0E8-81FD4541845E}"/>
                </a:ext>
              </a:extLst>
            </xdr:cNvPr>
            <xdr:cNvGraphicFramePr/>
          </xdr:nvGraphicFramePr>
          <xdr:xfrm>
            <a:off x="0" y="0"/>
            <a:ext cx="0" cy="0"/>
          </xdr:xfrm>
          <a:graphic>
            <a:graphicData uri="http://schemas.microsoft.com/office/drawing/2010/slicer">
              <sle:slicer xmlns:sle="http://schemas.microsoft.com/office/drawing/2010/slicer" name="Performance Category 1"/>
            </a:graphicData>
          </a:graphic>
        </xdr:graphicFrame>
      </mc:Choice>
      <mc:Fallback xmlns="">
        <xdr:sp macro="" textlink="">
          <xdr:nvSpPr>
            <xdr:cNvPr id="0" name=""/>
            <xdr:cNvSpPr>
              <a:spLocks noTextEdit="1"/>
            </xdr:cNvSpPr>
          </xdr:nvSpPr>
          <xdr:spPr>
            <a:xfrm>
              <a:off x="469900" y="4343400"/>
              <a:ext cx="1841500" cy="1310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70631</xdr:colOff>
      <xdr:row>7</xdr:row>
      <xdr:rowOff>121573</xdr:rowOff>
    </xdr:from>
    <xdr:to>
      <xdr:col>4</xdr:col>
      <xdr:colOff>466530</xdr:colOff>
      <xdr:row>9</xdr:row>
      <xdr:rowOff>157022</xdr:rowOff>
    </xdr:to>
    <xdr:pic>
      <xdr:nvPicPr>
        <xdr:cNvPr id="26" name="Graphic 25" descr="Business Growth">
          <a:extLst>
            <a:ext uri="{FF2B5EF4-FFF2-40B4-BE49-F238E27FC236}">
              <a16:creationId xmlns:a16="http://schemas.microsoft.com/office/drawing/2014/main" id="{606BB1D2-EF94-DAC0-B946-335BF57D3B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06958" y="1391573"/>
          <a:ext cx="395899" cy="3983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098.944225578707" createdVersion="8" refreshedVersion="8" minRefreshableVersion="3" recordCount="200" xr:uid="{1DE2349C-16B6-417C-88C8-16E371EF6585}">
  <cacheSource type="worksheet">
    <worksheetSource name="Day2_Task"/>
  </cacheSource>
  <cacheFields count="8">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7" count="5">
        <n v="16"/>
        <n v="17"/>
        <n v="15"/>
        <n v="14"/>
        <n v="13"/>
      </sharedItems>
    </cacheField>
    <cacheField name="Study_Hours" numFmtId="0">
      <sharedItems containsSemiMixedTypes="0" containsString="0" containsNumber="1" minValue="0.2" maxValue="5.8"/>
    </cacheField>
    <cacheField name="Screen_Time" numFmtId="0">
      <sharedItems containsSemiMixedTypes="0" containsString="0" containsNumber="1" minValue="0" maxValue="7.9" count="60">
        <n v="2.7"/>
        <n v="4"/>
        <n v="4.3"/>
        <n v="2.8"/>
        <n v="1.8"/>
        <n v="4.4000000000000004"/>
        <n v="6.7"/>
        <n v="4.5999999999999996"/>
        <n v="4.0999999999999996"/>
        <n v="3.6"/>
        <n v="5.8"/>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0">
      <sharedItems containsSemiMixedTypes="0" containsString="0" containsNumber="1" minValue="34.299999999999997" maxValue="100"/>
    </cacheField>
    <cacheField name="Extra_Curricular_Hours" numFmtId="0">
      <sharedItems containsSemiMixedTypes="0" containsString="0" containsNumber="1" minValue="0" maxValue="3.7"/>
    </cacheField>
    <cacheField name="Screen Time Category" numFmtId="0">
      <sharedItems count="4">
        <s v="Moderate"/>
        <s v="High"/>
        <s v="Low"/>
        <s v="Extremely High"/>
      </sharedItems>
    </cacheField>
    <cacheField name="Performance Category" numFmtId="0">
      <sharedItems count="5">
        <s v="Good"/>
        <s v="Average"/>
        <s v="Poor"/>
        <s v="Very Good"/>
        <s v="Excellent"/>
      </sharedItems>
    </cacheField>
  </cacheFields>
  <extLst>
    <ext xmlns:x14="http://schemas.microsoft.com/office/spreadsheetml/2009/9/main" uri="{725AE2AE-9491-48be-B2B4-4EB974FC3084}">
      <x14:pivotCacheDefinition pivotCacheId="2140300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x v="0"/>
    <n v="75"/>
    <n v="1.6"/>
    <x v="0"/>
    <x v="0"/>
  </r>
  <r>
    <n v="2"/>
    <x v="1"/>
    <n v="2.7"/>
    <x v="1"/>
    <n v="68.099999999999994"/>
    <n v="0.7"/>
    <x v="0"/>
    <x v="1"/>
  </r>
  <r>
    <n v="3"/>
    <x v="2"/>
    <n v="3"/>
    <x v="2"/>
    <n v="67.900000000000006"/>
    <n v="1.5"/>
    <x v="1"/>
    <x v="1"/>
  </r>
  <r>
    <n v="4"/>
    <x v="1"/>
    <n v="3"/>
    <x v="3"/>
    <n v="47.2"/>
    <n v="1.8"/>
    <x v="0"/>
    <x v="2"/>
  </r>
  <r>
    <n v="5"/>
    <x v="1"/>
    <n v="2.5"/>
    <x v="4"/>
    <n v="78"/>
    <n v="1.4"/>
    <x v="2"/>
    <x v="0"/>
  </r>
  <r>
    <n v="6"/>
    <x v="3"/>
    <n v="1.3"/>
    <x v="5"/>
    <n v="71.5"/>
    <n v="0.4"/>
    <x v="1"/>
    <x v="0"/>
  </r>
  <r>
    <n v="7"/>
    <x v="2"/>
    <n v="3.3"/>
    <x v="6"/>
    <n v="88"/>
    <n v="2.9"/>
    <x v="3"/>
    <x v="3"/>
  </r>
  <r>
    <n v="8"/>
    <x v="2"/>
    <n v="2.9"/>
    <x v="7"/>
    <n v="69.3"/>
    <n v="1.6"/>
    <x v="1"/>
    <x v="1"/>
  </r>
  <r>
    <n v="9"/>
    <x v="2"/>
    <n v="1.4"/>
    <x v="8"/>
    <n v="75.7"/>
    <n v="0.9"/>
    <x v="1"/>
    <x v="0"/>
  </r>
  <r>
    <n v="10"/>
    <x v="1"/>
    <n v="1.8"/>
    <x v="8"/>
    <n v="78.3"/>
    <n v="2.8"/>
    <x v="1"/>
    <x v="0"/>
  </r>
  <r>
    <n v="11"/>
    <x v="0"/>
    <n v="3.4"/>
    <x v="9"/>
    <n v="52.5"/>
    <n v="2"/>
    <x v="0"/>
    <x v="2"/>
  </r>
  <r>
    <n v="12"/>
    <x v="2"/>
    <n v="3.1"/>
    <x v="10"/>
    <n v="96.2"/>
    <n v="0.5"/>
    <x v="1"/>
    <x v="4"/>
  </r>
  <r>
    <n v="13"/>
    <x v="1"/>
    <n v="1.8"/>
    <x v="1"/>
    <n v="65.7"/>
    <n v="0.7"/>
    <x v="0"/>
    <x v="1"/>
  </r>
  <r>
    <n v="14"/>
    <x v="3"/>
    <n v="2.2000000000000002"/>
    <x v="11"/>
    <n v="74.900000000000006"/>
    <n v="1.3"/>
    <x v="2"/>
    <x v="0"/>
  </r>
  <r>
    <n v="15"/>
    <x v="0"/>
    <n v="2.4"/>
    <x v="12"/>
    <n v="76.400000000000006"/>
    <n v="1.7"/>
    <x v="2"/>
    <x v="0"/>
  </r>
  <r>
    <n v="16"/>
    <x v="3"/>
    <n v="3.1"/>
    <x v="8"/>
    <n v="61.9"/>
    <n v="2"/>
    <x v="1"/>
    <x v="1"/>
  </r>
  <r>
    <n v="17"/>
    <x v="0"/>
    <n v="3.7"/>
    <x v="13"/>
    <n v="88.5"/>
    <n v="2.2999999999999998"/>
    <x v="1"/>
    <x v="3"/>
  </r>
  <r>
    <n v="18"/>
    <x v="1"/>
    <n v="2.6"/>
    <x v="5"/>
    <n v="72.7"/>
    <n v="1.9"/>
    <x v="1"/>
    <x v="0"/>
  </r>
  <r>
    <n v="19"/>
    <x v="4"/>
    <n v="2.5"/>
    <x v="14"/>
    <n v="67.900000000000006"/>
    <n v="2.6"/>
    <x v="0"/>
    <x v="1"/>
  </r>
  <r>
    <n v="20"/>
    <x v="0"/>
    <n v="3.4"/>
    <x v="15"/>
    <n v="71.400000000000006"/>
    <n v="1.6"/>
    <x v="1"/>
    <x v="0"/>
  </r>
  <r>
    <n v="21"/>
    <x v="3"/>
    <n v="2.7"/>
    <x v="2"/>
    <n v="77.599999999999994"/>
    <n v="0.9"/>
    <x v="1"/>
    <x v="0"/>
  </r>
  <r>
    <n v="22"/>
    <x v="1"/>
    <n v="1.1000000000000001"/>
    <x v="16"/>
    <n v="70.099999999999994"/>
    <n v="1.5"/>
    <x v="1"/>
    <x v="0"/>
  </r>
  <r>
    <n v="23"/>
    <x v="0"/>
    <n v="1.5"/>
    <x v="17"/>
    <n v="78.8"/>
    <n v="1.4"/>
    <x v="1"/>
    <x v="0"/>
  </r>
  <r>
    <n v="24"/>
    <x v="4"/>
    <n v="3.2"/>
    <x v="18"/>
    <n v="53.2"/>
    <n v="0"/>
    <x v="0"/>
    <x v="2"/>
  </r>
  <r>
    <n v="25"/>
    <x v="4"/>
    <n v="0.8"/>
    <x v="19"/>
    <n v="62.5"/>
    <n v="1.1000000000000001"/>
    <x v="2"/>
    <x v="1"/>
  </r>
  <r>
    <n v="26"/>
    <x v="2"/>
    <n v="2.6"/>
    <x v="14"/>
    <n v="48.6"/>
    <n v="1.8"/>
    <x v="0"/>
    <x v="2"/>
  </r>
  <r>
    <n v="27"/>
    <x v="2"/>
    <n v="3.5"/>
    <x v="20"/>
    <n v="90"/>
    <n v="1.2"/>
    <x v="0"/>
    <x v="4"/>
  </r>
  <r>
    <n v="28"/>
    <x v="3"/>
    <n v="2.7"/>
    <x v="16"/>
    <n v="89.8"/>
    <n v="1"/>
    <x v="1"/>
    <x v="3"/>
  </r>
  <r>
    <n v="29"/>
    <x v="0"/>
    <n v="1.9"/>
    <x v="21"/>
    <n v="76.3"/>
    <n v="2.2000000000000002"/>
    <x v="0"/>
    <x v="0"/>
  </r>
  <r>
    <n v="30"/>
    <x v="0"/>
    <n v="1.7"/>
    <x v="22"/>
    <n v="59.9"/>
    <n v="0.8"/>
    <x v="2"/>
    <x v="2"/>
  </r>
  <r>
    <n v="31"/>
    <x v="2"/>
    <n v="3.3"/>
    <x v="23"/>
    <n v="93.9"/>
    <n v="2.1"/>
    <x v="0"/>
    <x v="4"/>
  </r>
  <r>
    <n v="32"/>
    <x v="0"/>
    <n v="3"/>
    <x v="4"/>
    <n v="64"/>
    <n v="0.4"/>
    <x v="2"/>
    <x v="1"/>
  </r>
  <r>
    <n v="33"/>
    <x v="0"/>
    <n v="2.2000000000000002"/>
    <x v="24"/>
    <n v="67.900000000000006"/>
    <n v="3.7"/>
    <x v="3"/>
    <x v="1"/>
  </r>
  <r>
    <n v="34"/>
    <x v="4"/>
    <n v="3.6"/>
    <x v="15"/>
    <n v="71.599999999999994"/>
    <n v="1.3"/>
    <x v="1"/>
    <x v="0"/>
  </r>
  <r>
    <n v="35"/>
    <x v="2"/>
    <n v="3.4"/>
    <x v="25"/>
    <n v="74.5"/>
    <n v="1.2"/>
    <x v="1"/>
    <x v="0"/>
  </r>
  <r>
    <n v="36"/>
    <x v="1"/>
    <n v="4.3"/>
    <x v="26"/>
    <n v="76.400000000000006"/>
    <n v="2.4"/>
    <x v="1"/>
    <x v="0"/>
  </r>
  <r>
    <n v="37"/>
    <x v="2"/>
    <n v="3.1"/>
    <x v="27"/>
    <n v="76.8"/>
    <n v="1.2"/>
    <x v="1"/>
    <x v="0"/>
  </r>
  <r>
    <n v="38"/>
    <x v="1"/>
    <n v="2.2999999999999998"/>
    <x v="28"/>
    <n v="70.900000000000006"/>
    <n v="2.7"/>
    <x v="1"/>
    <x v="0"/>
  </r>
  <r>
    <n v="39"/>
    <x v="4"/>
    <n v="2.4"/>
    <x v="29"/>
    <n v="76.7"/>
    <n v="1.8"/>
    <x v="0"/>
    <x v="0"/>
  </r>
  <r>
    <n v="40"/>
    <x v="3"/>
    <n v="0.6"/>
    <x v="30"/>
    <n v="70.900000000000006"/>
    <n v="1.4"/>
    <x v="2"/>
    <x v="0"/>
  </r>
  <r>
    <n v="41"/>
    <x v="0"/>
    <n v="2.7"/>
    <x v="0"/>
    <n v="75.8"/>
    <n v="1.3"/>
    <x v="0"/>
    <x v="0"/>
  </r>
  <r>
    <n v="42"/>
    <x v="4"/>
    <n v="2.5"/>
    <x v="31"/>
    <n v="75"/>
    <n v="2.5"/>
    <x v="0"/>
    <x v="0"/>
  </r>
  <r>
    <n v="43"/>
    <x v="0"/>
    <n v="1.2"/>
    <x v="32"/>
    <n v="77.599999999999994"/>
    <n v="1.7"/>
    <x v="2"/>
    <x v="0"/>
  </r>
  <r>
    <n v="44"/>
    <x v="3"/>
    <n v="2.5"/>
    <x v="28"/>
    <n v="76.400000000000006"/>
    <n v="1.8"/>
    <x v="1"/>
    <x v="0"/>
  </r>
  <r>
    <n v="45"/>
    <x v="3"/>
    <n v="3.8"/>
    <x v="22"/>
    <n v="65.599999999999994"/>
    <n v="1.9"/>
    <x v="2"/>
    <x v="1"/>
  </r>
  <r>
    <n v="46"/>
    <x v="4"/>
    <n v="1.8"/>
    <x v="33"/>
    <n v="74.599999999999994"/>
    <n v="1.6"/>
    <x v="1"/>
    <x v="0"/>
  </r>
  <r>
    <n v="47"/>
    <x v="3"/>
    <n v="1.5"/>
    <x v="34"/>
    <n v="76.5"/>
    <n v="1.9"/>
    <x v="0"/>
    <x v="0"/>
  </r>
  <r>
    <n v="48"/>
    <x v="1"/>
    <n v="3.6"/>
    <x v="5"/>
    <n v="57.1"/>
    <n v="1.4"/>
    <x v="1"/>
    <x v="2"/>
  </r>
  <r>
    <n v="49"/>
    <x v="3"/>
    <n v="3.1"/>
    <x v="35"/>
    <n v="67.3"/>
    <n v="1.5"/>
    <x v="0"/>
    <x v="1"/>
  </r>
  <r>
    <n v="50"/>
    <x v="0"/>
    <n v="5.6"/>
    <x v="2"/>
    <n v="76.099999999999994"/>
    <n v="0.6"/>
    <x v="1"/>
    <x v="0"/>
  </r>
  <r>
    <n v="51"/>
    <x v="0"/>
    <n v="1.2"/>
    <x v="35"/>
    <n v="87.1"/>
    <n v="1.7"/>
    <x v="0"/>
    <x v="3"/>
  </r>
  <r>
    <n v="52"/>
    <x v="0"/>
    <n v="3.2"/>
    <x v="29"/>
    <n v="78.2"/>
    <n v="0.1"/>
    <x v="0"/>
    <x v="0"/>
  </r>
  <r>
    <n v="53"/>
    <x v="0"/>
    <n v="2.8"/>
    <x v="0"/>
    <n v="87.7"/>
    <n v="1.7"/>
    <x v="0"/>
    <x v="3"/>
  </r>
  <r>
    <n v="54"/>
    <x v="1"/>
    <n v="2.6"/>
    <x v="1"/>
    <n v="66"/>
    <n v="1.3"/>
    <x v="0"/>
    <x v="1"/>
  </r>
  <r>
    <n v="55"/>
    <x v="2"/>
    <n v="3.4"/>
    <x v="7"/>
    <n v="72.5"/>
    <n v="1.8"/>
    <x v="1"/>
    <x v="0"/>
  </r>
  <r>
    <n v="56"/>
    <x v="4"/>
    <n v="2.5"/>
    <x v="2"/>
    <n v="78.099999999999994"/>
    <n v="0.7"/>
    <x v="1"/>
    <x v="0"/>
  </r>
  <r>
    <n v="57"/>
    <x v="0"/>
    <n v="0.6"/>
    <x v="0"/>
    <n v="46.7"/>
    <n v="0"/>
    <x v="0"/>
    <x v="2"/>
  </r>
  <r>
    <n v="58"/>
    <x v="3"/>
    <n v="1.7"/>
    <x v="9"/>
    <n v="70.900000000000006"/>
    <n v="1.2"/>
    <x v="0"/>
    <x v="0"/>
  </r>
  <r>
    <n v="59"/>
    <x v="0"/>
    <n v="3.9"/>
    <x v="20"/>
    <n v="51.4"/>
    <n v="0.7"/>
    <x v="0"/>
    <x v="2"/>
  </r>
  <r>
    <n v="60"/>
    <x v="3"/>
    <n v="3.7"/>
    <x v="35"/>
    <n v="80"/>
    <n v="0.1"/>
    <x v="0"/>
    <x v="3"/>
  </r>
  <r>
    <n v="61"/>
    <x v="3"/>
    <n v="2.1"/>
    <x v="36"/>
    <n v="76.900000000000006"/>
    <n v="2.1"/>
    <x v="0"/>
    <x v="0"/>
  </r>
  <r>
    <n v="62"/>
    <x v="0"/>
    <n v="3"/>
    <x v="24"/>
    <n v="46.6"/>
    <n v="2.8"/>
    <x v="3"/>
    <x v="2"/>
  </r>
  <r>
    <n v="63"/>
    <x v="1"/>
    <n v="5.3"/>
    <x v="1"/>
    <n v="47.1"/>
    <n v="0.9"/>
    <x v="0"/>
    <x v="2"/>
  </r>
  <r>
    <n v="64"/>
    <x v="3"/>
    <n v="2.5"/>
    <x v="0"/>
    <n v="70.900000000000006"/>
    <n v="1.4"/>
    <x v="0"/>
    <x v="0"/>
  </r>
  <r>
    <n v="65"/>
    <x v="3"/>
    <n v="2.5"/>
    <x v="11"/>
    <n v="82.1"/>
    <n v="1.3"/>
    <x v="2"/>
    <x v="3"/>
  </r>
  <r>
    <n v="66"/>
    <x v="0"/>
    <n v="2.7"/>
    <x v="3"/>
    <n v="61.2"/>
    <n v="1"/>
    <x v="0"/>
    <x v="1"/>
  </r>
  <r>
    <n v="67"/>
    <x v="3"/>
    <n v="3.1"/>
    <x v="35"/>
    <n v="61.2"/>
    <n v="2"/>
    <x v="0"/>
    <x v="1"/>
  </r>
  <r>
    <n v="68"/>
    <x v="3"/>
    <n v="2.2000000000000002"/>
    <x v="31"/>
    <n v="75.099999999999994"/>
    <n v="2.2999999999999998"/>
    <x v="0"/>
    <x v="0"/>
  </r>
  <r>
    <n v="69"/>
    <x v="0"/>
    <n v="3.1"/>
    <x v="37"/>
    <n v="69.900000000000006"/>
    <n v="0.8"/>
    <x v="0"/>
    <x v="1"/>
  </r>
  <r>
    <n v="70"/>
    <x v="0"/>
    <n v="0.6"/>
    <x v="12"/>
    <n v="80.5"/>
    <n v="1.5"/>
    <x v="2"/>
    <x v="3"/>
  </r>
  <r>
    <n v="71"/>
    <x v="4"/>
    <n v="2.8"/>
    <x v="38"/>
    <n v="74.8"/>
    <n v="2.5"/>
    <x v="2"/>
    <x v="0"/>
  </r>
  <r>
    <n v="72"/>
    <x v="1"/>
    <n v="2.6"/>
    <x v="25"/>
    <n v="85.8"/>
    <n v="2.1"/>
    <x v="1"/>
    <x v="3"/>
  </r>
  <r>
    <n v="73"/>
    <x v="1"/>
    <n v="2.2999999999999998"/>
    <x v="39"/>
    <n v="79.7"/>
    <n v="2.2000000000000002"/>
    <x v="0"/>
    <x v="0"/>
  </r>
  <r>
    <n v="74"/>
    <x v="3"/>
    <n v="2"/>
    <x v="25"/>
    <n v="77.2"/>
    <n v="2.6"/>
    <x v="1"/>
    <x v="0"/>
  </r>
  <r>
    <n v="75"/>
    <x v="1"/>
    <n v="1.9"/>
    <x v="16"/>
    <n v="66.5"/>
    <n v="2.6"/>
    <x v="1"/>
    <x v="1"/>
  </r>
  <r>
    <n v="76"/>
    <x v="3"/>
    <n v="1.7"/>
    <x v="40"/>
    <n v="65.7"/>
    <n v="2.2999999999999998"/>
    <x v="1"/>
    <x v="1"/>
  </r>
  <r>
    <n v="77"/>
    <x v="4"/>
    <n v="0.2"/>
    <x v="36"/>
    <n v="69.5"/>
    <n v="1.6"/>
    <x v="0"/>
    <x v="1"/>
  </r>
  <r>
    <n v="78"/>
    <x v="0"/>
    <n v="2.2000000000000002"/>
    <x v="2"/>
    <n v="88.4"/>
    <n v="1.2"/>
    <x v="1"/>
    <x v="3"/>
  </r>
  <r>
    <n v="79"/>
    <x v="0"/>
    <n v="3.6"/>
    <x v="41"/>
    <n v="65.900000000000006"/>
    <n v="1.6"/>
    <x v="3"/>
    <x v="1"/>
  </r>
  <r>
    <n v="80"/>
    <x v="0"/>
    <n v="2.2000000000000002"/>
    <x v="35"/>
    <n v="72.599999999999994"/>
    <n v="1.1000000000000001"/>
    <x v="0"/>
    <x v="0"/>
  </r>
  <r>
    <n v="81"/>
    <x v="1"/>
    <n v="3.1"/>
    <x v="42"/>
    <n v="47.6"/>
    <n v="0"/>
    <x v="1"/>
    <x v="2"/>
  </r>
  <r>
    <n v="82"/>
    <x v="4"/>
    <n v="1.4"/>
    <x v="1"/>
    <n v="76.8"/>
    <n v="1.3"/>
    <x v="0"/>
    <x v="0"/>
  </r>
  <r>
    <n v="83"/>
    <x v="1"/>
    <n v="1.2"/>
    <x v="41"/>
    <n v="92.6"/>
    <n v="1.8"/>
    <x v="3"/>
    <x v="4"/>
  </r>
  <r>
    <n v="84"/>
    <x v="1"/>
    <n v="1.7"/>
    <x v="37"/>
    <n v="60.7"/>
    <n v="1"/>
    <x v="0"/>
    <x v="1"/>
  </r>
  <r>
    <n v="85"/>
    <x v="4"/>
    <n v="1.5"/>
    <x v="28"/>
    <n v="100"/>
    <n v="1.3"/>
    <x v="1"/>
    <x v="4"/>
  </r>
  <r>
    <n v="86"/>
    <x v="4"/>
    <n v="1.3"/>
    <x v="43"/>
    <n v="71.8"/>
    <n v="1.4"/>
    <x v="0"/>
    <x v="0"/>
  </r>
  <r>
    <n v="87"/>
    <x v="4"/>
    <n v="2.9"/>
    <x v="37"/>
    <n v="44.3"/>
    <n v="2.6"/>
    <x v="0"/>
    <x v="2"/>
  </r>
  <r>
    <n v="88"/>
    <x v="4"/>
    <n v="4.3"/>
    <x v="40"/>
    <n v="66.099999999999994"/>
    <n v="1.2"/>
    <x v="1"/>
    <x v="1"/>
  </r>
  <r>
    <n v="89"/>
    <x v="0"/>
    <n v="1.8"/>
    <x v="42"/>
    <n v="83.3"/>
    <n v="2.6"/>
    <x v="1"/>
    <x v="3"/>
  </r>
  <r>
    <n v="90"/>
    <x v="2"/>
    <n v="2.5"/>
    <x v="44"/>
    <n v="90"/>
    <n v="0"/>
    <x v="3"/>
    <x v="4"/>
  </r>
  <r>
    <n v="91"/>
    <x v="2"/>
    <n v="3.2"/>
    <x v="42"/>
    <n v="77.2"/>
    <n v="2.6"/>
    <x v="1"/>
    <x v="0"/>
  </r>
  <r>
    <n v="92"/>
    <x v="4"/>
    <n v="1.1000000000000001"/>
    <x v="2"/>
    <n v="85.7"/>
    <n v="2.5"/>
    <x v="1"/>
    <x v="3"/>
  </r>
  <r>
    <n v="93"/>
    <x v="2"/>
    <n v="1.3"/>
    <x v="24"/>
    <n v="58.2"/>
    <n v="2.2000000000000002"/>
    <x v="3"/>
    <x v="2"/>
  </r>
  <r>
    <n v="94"/>
    <x v="2"/>
    <n v="3"/>
    <x v="33"/>
    <n v="63.2"/>
    <n v="0"/>
    <x v="1"/>
    <x v="1"/>
  </r>
  <r>
    <n v="95"/>
    <x v="4"/>
    <n v="2.2999999999999998"/>
    <x v="37"/>
    <n v="53.2"/>
    <n v="2.2999999999999998"/>
    <x v="0"/>
    <x v="2"/>
  </r>
  <r>
    <n v="96"/>
    <x v="2"/>
    <n v="1.8"/>
    <x v="17"/>
    <n v="63.9"/>
    <n v="1.5"/>
    <x v="1"/>
    <x v="1"/>
  </r>
  <r>
    <n v="97"/>
    <x v="1"/>
    <n v="2.6"/>
    <x v="21"/>
    <n v="77.599999999999994"/>
    <n v="0"/>
    <x v="0"/>
    <x v="0"/>
  </r>
  <r>
    <n v="98"/>
    <x v="3"/>
    <n v="2.1"/>
    <x v="37"/>
    <n v="72.099999999999994"/>
    <n v="2.5"/>
    <x v="0"/>
    <x v="0"/>
  </r>
  <r>
    <n v="99"/>
    <x v="3"/>
    <n v="4.4000000000000004"/>
    <x v="0"/>
    <n v="78.7"/>
    <n v="2.7"/>
    <x v="0"/>
    <x v="0"/>
  </r>
  <r>
    <n v="100"/>
    <x v="4"/>
    <n v="1.8"/>
    <x v="18"/>
    <n v="60.6"/>
    <n v="0"/>
    <x v="0"/>
    <x v="1"/>
  </r>
  <r>
    <n v="101"/>
    <x v="0"/>
    <n v="1.6"/>
    <x v="42"/>
    <n v="61.2"/>
    <n v="1.6"/>
    <x v="1"/>
    <x v="1"/>
  </r>
  <r>
    <n v="102"/>
    <x v="4"/>
    <n v="2"/>
    <x v="9"/>
    <n v="72"/>
    <n v="2.6"/>
    <x v="0"/>
    <x v="0"/>
  </r>
  <r>
    <n v="103"/>
    <x v="0"/>
    <n v="2.1"/>
    <x v="45"/>
    <n v="64"/>
    <n v="2.5"/>
    <x v="2"/>
    <x v="1"/>
  </r>
  <r>
    <n v="104"/>
    <x v="3"/>
    <n v="2.5"/>
    <x v="9"/>
    <n v="83"/>
    <n v="2.2000000000000002"/>
    <x v="0"/>
    <x v="3"/>
  </r>
  <r>
    <n v="105"/>
    <x v="4"/>
    <n v="0.5"/>
    <x v="29"/>
    <n v="63.7"/>
    <n v="0"/>
    <x v="0"/>
    <x v="1"/>
  </r>
  <r>
    <n v="106"/>
    <x v="1"/>
    <n v="2.9"/>
    <x v="27"/>
    <n v="65"/>
    <n v="2.1"/>
    <x v="1"/>
    <x v="1"/>
  </r>
  <r>
    <n v="107"/>
    <x v="2"/>
    <n v="2"/>
    <x v="29"/>
    <n v="74.2"/>
    <n v="1.3"/>
    <x v="0"/>
    <x v="0"/>
  </r>
  <r>
    <n v="108"/>
    <x v="0"/>
    <n v="3.3"/>
    <x v="46"/>
    <n v="66.099999999999994"/>
    <n v="2.2999999999999998"/>
    <x v="3"/>
    <x v="1"/>
  </r>
  <r>
    <n v="109"/>
    <x v="2"/>
    <n v="2.5"/>
    <x v="41"/>
    <n v="57.7"/>
    <n v="1.7"/>
    <x v="3"/>
    <x v="2"/>
  </r>
  <r>
    <n v="110"/>
    <x v="2"/>
    <n v="3"/>
    <x v="43"/>
    <n v="59"/>
    <n v="1.5"/>
    <x v="0"/>
    <x v="2"/>
  </r>
  <r>
    <n v="111"/>
    <x v="4"/>
    <n v="2.1"/>
    <x v="28"/>
    <n v="75.400000000000006"/>
    <n v="2"/>
    <x v="1"/>
    <x v="0"/>
  </r>
  <r>
    <n v="112"/>
    <x v="2"/>
    <n v="2.9"/>
    <x v="1"/>
    <n v="56.4"/>
    <n v="1.4"/>
    <x v="0"/>
    <x v="2"/>
  </r>
  <r>
    <n v="113"/>
    <x v="1"/>
    <n v="4.2"/>
    <x v="5"/>
    <n v="84"/>
    <n v="1.5"/>
    <x v="1"/>
    <x v="3"/>
  </r>
  <r>
    <n v="114"/>
    <x v="2"/>
    <n v="1.8"/>
    <x v="16"/>
    <n v="63.1"/>
    <n v="1.1000000000000001"/>
    <x v="1"/>
    <x v="1"/>
  </r>
  <r>
    <n v="115"/>
    <x v="4"/>
    <n v="2.4"/>
    <x v="8"/>
    <n v="76.2"/>
    <n v="0.2"/>
    <x v="1"/>
    <x v="0"/>
  </r>
  <r>
    <n v="116"/>
    <x v="1"/>
    <n v="2"/>
    <x v="5"/>
    <n v="63.7"/>
    <n v="2"/>
    <x v="1"/>
    <x v="1"/>
  </r>
  <r>
    <n v="117"/>
    <x v="3"/>
    <n v="4.0999999999999996"/>
    <x v="16"/>
    <n v="60.8"/>
    <n v="0.9"/>
    <x v="1"/>
    <x v="1"/>
  </r>
  <r>
    <n v="118"/>
    <x v="2"/>
    <n v="2.1"/>
    <x v="47"/>
    <n v="72.5"/>
    <n v="1.3"/>
    <x v="3"/>
    <x v="0"/>
  </r>
  <r>
    <n v="119"/>
    <x v="4"/>
    <n v="1.8"/>
    <x v="5"/>
    <n v="80.5"/>
    <n v="1.7"/>
    <x v="1"/>
    <x v="3"/>
  </r>
  <r>
    <n v="120"/>
    <x v="3"/>
    <n v="1.9"/>
    <x v="35"/>
    <n v="67.5"/>
    <n v="0"/>
    <x v="0"/>
    <x v="1"/>
  </r>
  <r>
    <n v="121"/>
    <x v="3"/>
    <n v="2.4"/>
    <x v="48"/>
    <n v="69.3"/>
    <n v="0"/>
    <x v="2"/>
    <x v="1"/>
  </r>
  <r>
    <n v="122"/>
    <x v="0"/>
    <n v="1.7"/>
    <x v="44"/>
    <n v="78.099999999999994"/>
    <n v="1.3"/>
    <x v="3"/>
    <x v="0"/>
  </r>
  <r>
    <n v="123"/>
    <x v="1"/>
    <n v="2.1"/>
    <x v="9"/>
    <n v="78.400000000000006"/>
    <n v="1.9"/>
    <x v="0"/>
    <x v="0"/>
  </r>
  <r>
    <n v="124"/>
    <x v="2"/>
    <n v="2.7"/>
    <x v="26"/>
    <n v="69.599999999999994"/>
    <n v="2.1"/>
    <x v="1"/>
    <x v="1"/>
  </r>
  <r>
    <n v="125"/>
    <x v="4"/>
    <n v="2.4"/>
    <x v="44"/>
    <n v="65.599999999999994"/>
    <n v="0.2"/>
    <x v="3"/>
    <x v="1"/>
  </r>
  <r>
    <n v="126"/>
    <x v="0"/>
    <n v="3.3"/>
    <x v="2"/>
    <n v="70.8"/>
    <n v="2"/>
    <x v="1"/>
    <x v="0"/>
  </r>
  <r>
    <n v="127"/>
    <x v="1"/>
    <n v="2.2000000000000002"/>
    <x v="34"/>
    <n v="68.099999999999994"/>
    <n v="1.3"/>
    <x v="0"/>
    <x v="1"/>
  </r>
  <r>
    <n v="128"/>
    <x v="0"/>
    <n v="2.2999999999999998"/>
    <x v="41"/>
    <n v="73.099999999999994"/>
    <n v="0.8"/>
    <x v="3"/>
    <x v="0"/>
  </r>
  <r>
    <n v="129"/>
    <x v="1"/>
    <n v="2.8"/>
    <x v="15"/>
    <n v="58.1"/>
    <n v="1"/>
    <x v="1"/>
    <x v="2"/>
  </r>
  <r>
    <n v="130"/>
    <x v="1"/>
    <n v="4.7"/>
    <x v="33"/>
    <n v="72.8"/>
    <n v="2.1"/>
    <x v="1"/>
    <x v="0"/>
  </r>
  <r>
    <n v="131"/>
    <x v="2"/>
    <n v="1.7"/>
    <x v="38"/>
    <n v="62.8"/>
    <n v="1.7"/>
    <x v="2"/>
    <x v="1"/>
  </r>
  <r>
    <n v="132"/>
    <x v="1"/>
    <n v="4.4000000000000004"/>
    <x v="10"/>
    <n v="79.099999999999994"/>
    <n v="1.5"/>
    <x v="1"/>
    <x v="0"/>
  </r>
  <r>
    <n v="133"/>
    <x v="0"/>
    <n v="1.3"/>
    <x v="7"/>
    <n v="63.3"/>
    <n v="1.7"/>
    <x v="1"/>
    <x v="1"/>
  </r>
  <r>
    <n v="134"/>
    <x v="1"/>
    <n v="2.7"/>
    <x v="30"/>
    <n v="63.4"/>
    <n v="2.2000000000000002"/>
    <x v="2"/>
    <x v="1"/>
  </r>
  <r>
    <n v="135"/>
    <x v="2"/>
    <n v="2.5"/>
    <x v="15"/>
    <n v="74.5"/>
    <n v="1.4"/>
    <x v="1"/>
    <x v="0"/>
  </r>
  <r>
    <n v="136"/>
    <x v="2"/>
    <n v="1.7"/>
    <x v="49"/>
    <n v="70.099999999999994"/>
    <n v="1.5"/>
    <x v="2"/>
    <x v="0"/>
  </r>
  <r>
    <n v="137"/>
    <x v="0"/>
    <n v="3.2"/>
    <x v="50"/>
    <n v="92.8"/>
    <n v="2.4"/>
    <x v="3"/>
    <x v="4"/>
  </r>
  <r>
    <n v="138"/>
    <x v="3"/>
    <n v="3.1"/>
    <x v="51"/>
    <n v="70.900000000000006"/>
    <n v="1.2"/>
    <x v="0"/>
    <x v="0"/>
  </r>
  <r>
    <n v="139"/>
    <x v="3"/>
    <n v="2"/>
    <x v="24"/>
    <n v="71.099999999999994"/>
    <n v="2"/>
    <x v="3"/>
    <x v="0"/>
  </r>
  <r>
    <n v="140"/>
    <x v="1"/>
    <n v="0.4"/>
    <x v="3"/>
    <n v="81.3"/>
    <n v="1.1000000000000001"/>
    <x v="0"/>
    <x v="3"/>
  </r>
  <r>
    <n v="141"/>
    <x v="4"/>
    <n v="2.1"/>
    <x v="26"/>
    <n v="64.2"/>
    <n v="1.2"/>
    <x v="1"/>
    <x v="1"/>
  </r>
  <r>
    <n v="142"/>
    <x v="1"/>
    <n v="2.6"/>
    <x v="18"/>
    <n v="60.9"/>
    <n v="1.4"/>
    <x v="0"/>
    <x v="1"/>
  </r>
  <r>
    <n v="143"/>
    <x v="0"/>
    <n v="2.5"/>
    <x v="52"/>
    <n v="61.3"/>
    <n v="1.9"/>
    <x v="1"/>
    <x v="1"/>
  </r>
  <r>
    <n v="144"/>
    <x v="0"/>
    <n v="3.3"/>
    <x v="9"/>
    <n v="53.9"/>
    <n v="2.5"/>
    <x v="0"/>
    <x v="2"/>
  </r>
  <r>
    <n v="145"/>
    <x v="0"/>
    <n v="4.4000000000000004"/>
    <x v="15"/>
    <n v="83.5"/>
    <n v="1.6"/>
    <x v="1"/>
    <x v="3"/>
  </r>
  <r>
    <n v="146"/>
    <x v="0"/>
    <n v="2.9"/>
    <x v="1"/>
    <n v="66.7"/>
    <n v="0.3"/>
    <x v="0"/>
    <x v="1"/>
  </r>
  <r>
    <n v="147"/>
    <x v="0"/>
    <n v="3.1"/>
    <x v="11"/>
    <n v="65.5"/>
    <n v="2"/>
    <x v="2"/>
    <x v="1"/>
  </r>
  <r>
    <n v="148"/>
    <x v="2"/>
    <n v="2.6"/>
    <x v="26"/>
    <n v="48.8"/>
    <n v="3.5"/>
    <x v="1"/>
    <x v="2"/>
  </r>
  <r>
    <n v="149"/>
    <x v="3"/>
    <n v="3.7"/>
    <x v="29"/>
    <n v="55.7"/>
    <n v="1.6"/>
    <x v="0"/>
    <x v="2"/>
  </r>
  <r>
    <n v="150"/>
    <x v="0"/>
    <n v="3"/>
    <x v="13"/>
    <n v="84.7"/>
    <n v="0.1"/>
    <x v="1"/>
    <x v="3"/>
  </r>
  <r>
    <n v="151"/>
    <x v="4"/>
    <n v="3.2"/>
    <x v="9"/>
    <n v="73"/>
    <n v="1.6"/>
    <x v="0"/>
    <x v="0"/>
  </r>
  <r>
    <n v="152"/>
    <x v="4"/>
    <n v="4.3"/>
    <x v="31"/>
    <n v="81.7"/>
    <n v="1.5"/>
    <x v="0"/>
    <x v="3"/>
  </r>
  <r>
    <n v="153"/>
    <x v="4"/>
    <n v="2.7"/>
    <x v="53"/>
    <n v="80.400000000000006"/>
    <n v="1.4"/>
    <x v="3"/>
    <x v="3"/>
  </r>
  <r>
    <n v="154"/>
    <x v="4"/>
    <n v="2.2000000000000002"/>
    <x v="54"/>
    <n v="60"/>
    <n v="2.2999999999999998"/>
    <x v="3"/>
    <x v="1"/>
  </r>
  <r>
    <n v="155"/>
    <x v="2"/>
    <n v="2.9"/>
    <x v="16"/>
    <n v="94.3"/>
    <n v="2.6"/>
    <x v="1"/>
    <x v="4"/>
  </r>
  <r>
    <n v="156"/>
    <x v="4"/>
    <n v="3.6"/>
    <x v="9"/>
    <n v="89.5"/>
    <n v="2"/>
    <x v="0"/>
    <x v="3"/>
  </r>
  <r>
    <n v="157"/>
    <x v="0"/>
    <n v="3"/>
    <x v="43"/>
    <n v="64.400000000000006"/>
    <n v="1.4"/>
    <x v="0"/>
    <x v="1"/>
  </r>
  <r>
    <n v="158"/>
    <x v="1"/>
    <n v="3.6"/>
    <x v="3"/>
    <n v="34.299999999999997"/>
    <n v="2.4"/>
    <x v="0"/>
    <x v="2"/>
  </r>
  <r>
    <n v="159"/>
    <x v="4"/>
    <n v="1.8"/>
    <x v="23"/>
    <n v="66.400000000000006"/>
    <n v="0.3"/>
    <x v="0"/>
    <x v="1"/>
  </r>
  <r>
    <n v="160"/>
    <x v="2"/>
    <n v="1.6"/>
    <x v="9"/>
    <n v="72.400000000000006"/>
    <n v="0.9"/>
    <x v="0"/>
    <x v="0"/>
  </r>
  <r>
    <n v="161"/>
    <x v="2"/>
    <n v="2"/>
    <x v="44"/>
    <n v="64.3"/>
    <n v="1"/>
    <x v="3"/>
    <x v="1"/>
  </r>
  <r>
    <n v="162"/>
    <x v="4"/>
    <n v="1.2"/>
    <x v="34"/>
    <n v="67.8"/>
    <n v="1.5"/>
    <x v="0"/>
    <x v="1"/>
  </r>
  <r>
    <n v="163"/>
    <x v="1"/>
    <n v="2.6"/>
    <x v="36"/>
    <n v="61.7"/>
    <n v="1.9"/>
    <x v="0"/>
    <x v="1"/>
  </r>
  <r>
    <n v="164"/>
    <x v="4"/>
    <n v="2.1"/>
    <x v="8"/>
    <n v="79.2"/>
    <n v="1.3"/>
    <x v="1"/>
    <x v="0"/>
  </r>
  <r>
    <n v="165"/>
    <x v="2"/>
    <n v="3.7"/>
    <x v="2"/>
    <n v="70.599999999999994"/>
    <n v="0.8"/>
    <x v="1"/>
    <x v="0"/>
  </r>
  <r>
    <n v="166"/>
    <x v="3"/>
    <n v="1.2"/>
    <x v="8"/>
    <n v="79.5"/>
    <n v="2.2999999999999998"/>
    <x v="1"/>
    <x v="0"/>
  </r>
  <r>
    <n v="167"/>
    <x v="0"/>
    <n v="4.0999999999999996"/>
    <x v="16"/>
    <n v="82.2"/>
    <n v="1.3"/>
    <x v="1"/>
    <x v="3"/>
  </r>
  <r>
    <n v="168"/>
    <x v="2"/>
    <n v="1.5"/>
    <x v="8"/>
    <n v="48.3"/>
    <n v="1.6"/>
    <x v="1"/>
    <x v="2"/>
  </r>
  <r>
    <n v="169"/>
    <x v="4"/>
    <n v="1.3"/>
    <x v="16"/>
    <n v="62.3"/>
    <n v="1.9"/>
    <x v="1"/>
    <x v="1"/>
  </r>
  <r>
    <n v="170"/>
    <x v="0"/>
    <n v="1.7"/>
    <x v="3"/>
    <n v="63.8"/>
    <n v="1.5"/>
    <x v="0"/>
    <x v="1"/>
  </r>
  <r>
    <n v="171"/>
    <x v="4"/>
    <n v="4.5"/>
    <x v="1"/>
    <n v="95.7"/>
    <n v="1.5"/>
    <x v="0"/>
    <x v="4"/>
  </r>
  <r>
    <n v="172"/>
    <x v="4"/>
    <n v="2.5"/>
    <x v="5"/>
    <n v="71.5"/>
    <n v="2.2999999999999998"/>
    <x v="1"/>
    <x v="0"/>
  </r>
  <r>
    <n v="173"/>
    <x v="3"/>
    <n v="3"/>
    <x v="7"/>
    <n v="70.900000000000006"/>
    <n v="1.6"/>
    <x v="1"/>
    <x v="0"/>
  </r>
  <r>
    <n v="174"/>
    <x v="0"/>
    <n v="2.2999999999999998"/>
    <x v="3"/>
    <n v="51.2"/>
    <n v="2.2000000000000002"/>
    <x v="0"/>
    <x v="2"/>
  </r>
  <r>
    <n v="175"/>
    <x v="0"/>
    <n v="2.4"/>
    <x v="15"/>
    <n v="71.400000000000006"/>
    <n v="1.9"/>
    <x v="1"/>
    <x v="0"/>
  </r>
  <r>
    <n v="176"/>
    <x v="3"/>
    <n v="2"/>
    <x v="25"/>
    <n v="79.8"/>
    <n v="3.1"/>
    <x v="1"/>
    <x v="0"/>
  </r>
  <r>
    <n v="177"/>
    <x v="2"/>
    <n v="2.6"/>
    <x v="36"/>
    <n v="78.599999999999994"/>
    <n v="1.8"/>
    <x v="0"/>
    <x v="0"/>
  </r>
  <r>
    <n v="178"/>
    <x v="4"/>
    <n v="3"/>
    <x v="55"/>
    <n v="76.2"/>
    <n v="2"/>
    <x v="2"/>
    <x v="0"/>
  </r>
  <r>
    <n v="179"/>
    <x v="1"/>
    <n v="4.2"/>
    <x v="5"/>
    <n v="70.099999999999994"/>
    <n v="2.4"/>
    <x v="1"/>
    <x v="0"/>
  </r>
  <r>
    <n v="180"/>
    <x v="4"/>
    <n v="0.6"/>
    <x v="35"/>
    <n v="70.599999999999994"/>
    <n v="1.6"/>
    <x v="0"/>
    <x v="0"/>
  </r>
  <r>
    <n v="181"/>
    <x v="4"/>
    <n v="4.0999999999999996"/>
    <x v="5"/>
    <n v="53.1"/>
    <n v="1"/>
    <x v="1"/>
    <x v="2"/>
  </r>
  <r>
    <n v="182"/>
    <x v="2"/>
    <n v="3"/>
    <x v="56"/>
    <n v="61"/>
    <n v="1.1000000000000001"/>
    <x v="0"/>
    <x v="1"/>
  </r>
  <r>
    <n v="183"/>
    <x v="4"/>
    <n v="2.1"/>
    <x v="38"/>
    <n v="72.3"/>
    <n v="1.1000000000000001"/>
    <x v="2"/>
    <x v="0"/>
  </r>
  <r>
    <n v="184"/>
    <x v="3"/>
    <n v="2"/>
    <x v="2"/>
    <n v="62.8"/>
    <n v="0.7"/>
    <x v="1"/>
    <x v="1"/>
  </r>
  <r>
    <n v="185"/>
    <x v="3"/>
    <n v="3.5"/>
    <x v="14"/>
    <n v="76.900000000000006"/>
    <n v="1.8"/>
    <x v="0"/>
    <x v="0"/>
  </r>
  <r>
    <n v="186"/>
    <x v="0"/>
    <n v="2.7"/>
    <x v="1"/>
    <n v="74.7"/>
    <n v="1"/>
    <x v="0"/>
    <x v="0"/>
  </r>
  <r>
    <n v="187"/>
    <x v="1"/>
    <n v="1"/>
    <x v="17"/>
    <n v="83.7"/>
    <n v="1.7"/>
    <x v="1"/>
    <x v="3"/>
  </r>
  <r>
    <n v="188"/>
    <x v="4"/>
    <n v="2.9"/>
    <x v="11"/>
    <n v="79.599999999999994"/>
    <n v="1.4"/>
    <x v="2"/>
    <x v="0"/>
  </r>
  <r>
    <n v="189"/>
    <x v="4"/>
    <n v="3.6"/>
    <x v="57"/>
    <n v="72.3"/>
    <n v="1.5"/>
    <x v="3"/>
    <x v="0"/>
  </r>
  <r>
    <n v="190"/>
    <x v="2"/>
    <n v="3.4"/>
    <x v="23"/>
    <n v="77.5"/>
    <n v="1.9"/>
    <x v="0"/>
    <x v="0"/>
  </r>
  <r>
    <n v="191"/>
    <x v="3"/>
    <n v="1.9"/>
    <x v="7"/>
    <n v="80.099999999999994"/>
    <n v="1.1000000000000001"/>
    <x v="1"/>
    <x v="3"/>
  </r>
  <r>
    <n v="192"/>
    <x v="1"/>
    <n v="1.2"/>
    <x v="53"/>
    <n v="64.900000000000006"/>
    <n v="2"/>
    <x v="3"/>
    <x v="1"/>
  </r>
  <r>
    <n v="193"/>
    <x v="0"/>
    <n v="2.2000000000000002"/>
    <x v="58"/>
    <n v="66.7"/>
    <n v="2.8"/>
    <x v="3"/>
    <x v="1"/>
  </r>
  <r>
    <n v="194"/>
    <x v="3"/>
    <n v="5.8"/>
    <x v="59"/>
    <n v="69"/>
    <n v="1.8"/>
    <x v="3"/>
    <x v="1"/>
  </r>
  <r>
    <n v="195"/>
    <x v="0"/>
    <n v="1"/>
    <x v="38"/>
    <n v="65.2"/>
    <n v="0.9"/>
    <x v="2"/>
    <x v="1"/>
  </r>
  <r>
    <n v="196"/>
    <x v="2"/>
    <n v="1.7"/>
    <x v="51"/>
    <n v="80.2"/>
    <n v="1"/>
    <x v="0"/>
    <x v="3"/>
  </r>
  <r>
    <n v="197"/>
    <x v="2"/>
    <n v="2.9"/>
    <x v="2"/>
    <n v="63.7"/>
    <n v="1.3"/>
    <x v="1"/>
    <x v="1"/>
  </r>
  <r>
    <n v="198"/>
    <x v="4"/>
    <n v="2.4"/>
    <x v="27"/>
    <n v="82.5"/>
    <n v="1"/>
    <x v="1"/>
    <x v="3"/>
  </r>
  <r>
    <n v="199"/>
    <x v="1"/>
    <n v="2.2999999999999998"/>
    <x v="1"/>
    <n v="66.3"/>
    <n v="0.7"/>
    <x v="0"/>
    <x v="1"/>
  </r>
  <r>
    <n v="200"/>
    <x v="0"/>
    <n v="4.5"/>
    <x v="55"/>
    <n v="74.7"/>
    <n v="1.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B0E36-FC70-4B7D-AE8C-C7E8D296D8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creen time category">
  <location ref="A3:B8" firstHeaderRow="1" firstDataRow="1" firstDataCol="1"/>
  <pivotFields count="8">
    <pivotField showAll="0"/>
    <pivotField showAll="0">
      <items count="6">
        <item x="4"/>
        <item x="3"/>
        <item x="2"/>
        <item x="0"/>
        <item x="1"/>
        <item t="default"/>
      </items>
    </pivotField>
    <pivotField showAll="0"/>
    <pivotField showAll="0">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default"/>
      </items>
    </pivotField>
    <pivotField dataField="1" showAll="0"/>
    <pivotField showAll="0"/>
    <pivotField axis="axisRow" showAll="0">
      <items count="5">
        <item x="2"/>
        <item x="0"/>
        <item x="1"/>
        <item x="3"/>
        <item t="default"/>
      </items>
    </pivotField>
    <pivotField showAll="0">
      <items count="6">
        <item x="1"/>
        <item x="4"/>
        <item x="0"/>
        <item x="2"/>
        <item x="3"/>
        <item t="default"/>
      </items>
    </pivotField>
  </pivotFields>
  <rowFields count="1">
    <field x="6"/>
  </rowFields>
  <rowItems count="5">
    <i>
      <x/>
    </i>
    <i>
      <x v="1"/>
    </i>
    <i>
      <x v="2"/>
    </i>
    <i>
      <x v="3"/>
    </i>
    <i t="grand">
      <x/>
    </i>
  </rowItems>
  <colItems count="1">
    <i/>
  </colItems>
  <dataFields count="1">
    <dataField name="Average of Test_Scores" fld="4" subtotal="average" baseField="6"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96CB2-8196-447B-80BB-9BBD6E9FB8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creen time category">
  <location ref="A260:B265" firstHeaderRow="1" firstDataRow="1" firstDataCol="1"/>
  <pivotFields count="8">
    <pivotField showAll="0"/>
    <pivotField showAll="0"/>
    <pivotField showAll="0"/>
    <pivotField showAll="0"/>
    <pivotField dataField="1" showAll="0"/>
    <pivotField showAll="0"/>
    <pivotField axis="axisRow" showAll="0">
      <items count="5">
        <item x="2"/>
        <item x="0"/>
        <item x="1"/>
        <item x="3"/>
        <item t="default"/>
      </items>
    </pivotField>
    <pivotField showAll="0"/>
  </pivotFields>
  <rowFields count="1">
    <field x="6"/>
  </rowFields>
  <rowItems count="5">
    <i>
      <x/>
    </i>
    <i>
      <x v="1"/>
    </i>
    <i>
      <x v="2"/>
    </i>
    <i>
      <x v="3"/>
    </i>
    <i t="grand">
      <x/>
    </i>
  </rowItems>
  <colItems count="1">
    <i/>
  </colItems>
  <dataFields count="1">
    <dataField name="Average of Test_Scores" fld="4"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C21A3-5A7B-44B7-A690-85C344907E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A38:B44" firstHeaderRow="1" firstDataRow="1" firstDataCol="1"/>
  <pivotFields count="8">
    <pivotField showAll="0"/>
    <pivotField axis="axisRow" showAll="0">
      <items count="6">
        <item x="4"/>
        <item x="3"/>
        <item x="2"/>
        <item x="0"/>
        <item x="1"/>
        <item t="default"/>
      </items>
    </pivotField>
    <pivotField showAll="0"/>
    <pivotField showAll="0"/>
    <pivotField dataField="1" showAll="0"/>
    <pivotField showAll="0"/>
    <pivotField showAll="0">
      <items count="5">
        <item x="2"/>
        <item x="0"/>
        <item x="1"/>
        <item x="3"/>
        <item t="default"/>
      </items>
    </pivotField>
    <pivotField showAll="0">
      <items count="6">
        <item x="1"/>
        <item x="4"/>
        <item x="0"/>
        <item x="2"/>
        <item x="3"/>
        <item t="default"/>
      </items>
    </pivotField>
  </pivotFields>
  <rowFields count="1">
    <field x="1"/>
  </rowFields>
  <rowItems count="6">
    <i>
      <x/>
    </i>
    <i>
      <x v="1"/>
    </i>
    <i>
      <x v="2"/>
    </i>
    <i>
      <x v="3"/>
    </i>
    <i>
      <x v="4"/>
    </i>
    <i t="grand">
      <x/>
    </i>
  </rowItems>
  <colItems count="1">
    <i/>
  </colItems>
  <dataFields count="1">
    <dataField name="Average of Test_Scores" fld="4" subtotal="average" baseField="1"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153B03-9939-4020-8E97-786D4FAC4B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creen time category">
  <location ref="A19:B24" firstHeaderRow="1" firstDataRow="1" firstDataCol="1"/>
  <pivotFields count="8">
    <pivotField showAll="0"/>
    <pivotField showAll="0">
      <items count="6">
        <item x="4"/>
        <item x="3"/>
        <item x="2"/>
        <item x="0"/>
        <item x="1"/>
        <item t="default"/>
      </items>
    </pivotField>
    <pivotField showAll="0"/>
    <pivotField showAll="0"/>
    <pivotField showAll="0"/>
    <pivotField dataField="1" showAll="0"/>
    <pivotField axis="axisRow" showAll="0">
      <items count="5">
        <item x="2"/>
        <item x="0"/>
        <item x="1"/>
        <item x="3"/>
        <item t="default"/>
      </items>
    </pivotField>
    <pivotField showAll="0">
      <items count="6">
        <item x="1"/>
        <item x="4"/>
        <item x="0"/>
        <item x="2"/>
        <item x="3"/>
        <item t="default"/>
      </items>
    </pivotField>
  </pivotFields>
  <rowFields count="1">
    <field x="6"/>
  </rowFields>
  <rowItems count="5">
    <i>
      <x/>
    </i>
    <i>
      <x v="1"/>
    </i>
    <i>
      <x v="2"/>
    </i>
    <i>
      <x v="3"/>
    </i>
    <i t="grand">
      <x/>
    </i>
  </rowItems>
  <colItems count="1">
    <i/>
  </colItems>
  <dataFields count="1">
    <dataField name="Average of Extra_Curricular_Hours" fld="5" subtotal="average" baseField="6"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50A188-FCFB-4290-89F6-DB6D0A133E43}" autoFormatId="16" applyNumberFormats="0" applyBorderFormats="0" applyFontFormats="0" applyPatternFormats="0" applyAlignmentFormats="0" applyWidthHeightFormats="0">
  <queryTableRefresh nextId="9" unboundColumnsRight="2">
    <queryTableFields count="8">
      <queryTableField id="1" name="Student_ID" tableColumnId="1"/>
      <queryTableField id="2" name="Age" tableColumnId="2"/>
      <queryTableField id="3" name="Study_Hours" tableColumnId="3"/>
      <queryTableField id="4" name="Screen_Time" tableColumnId="4"/>
      <queryTableField id="5" name="Test_Scores" tableColumnId="5"/>
      <queryTableField id="6" name="Extra_Curricular_Hours"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653A150-399F-4BC0-A0C9-71AC0903F333}" sourceName="Age">
  <pivotTables>
    <pivotTable tabId="4" name="PivotTable1"/>
    <pivotTable tabId="4" name="PivotTable2"/>
    <pivotTable tabId="4" name="PivotTable3"/>
  </pivotTables>
  <data>
    <tabular pivotCacheId="2140300121">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Category" xr10:uid="{B00E330F-11E6-4486-9BCE-988DAF281963}" sourceName="Screen Time Category">
  <pivotTables>
    <pivotTable tabId="4" name="PivotTable1"/>
    <pivotTable tabId="4" name="PivotTable2"/>
    <pivotTable tabId="4" name="PivotTable3"/>
  </pivotTables>
  <data>
    <tabular pivotCacheId="214030012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6F5BABEA-C42E-4D63-BCDC-5772159188AB}" sourceName="Performance Category">
  <pivotTables>
    <pivotTable tabId="4" name="PivotTable3"/>
    <pivotTable tabId="4" name="PivotTable1"/>
    <pivotTable tabId="4" name="PivotTable2"/>
  </pivotTables>
  <data>
    <tabular pivotCacheId="2140300121">
      <items count="5">
        <i x="1"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F4E2457F-E511-45A7-9750-34B7BC64948E}" cache="Slicer_Age" caption="Age" rowHeight="241300"/>
  <slicer name="Screen Time Category" xr10:uid="{E28ACA94-940B-4A0B-8216-51B062F689A6}" cache="Slicer_Screen_Time_Category" caption="Screen Time Category" rowHeight="241300"/>
  <slicer name="Performance Category" xr10:uid="{4A9AC2F8-268F-4882-BB00-FDB452D4D258}" cache="Slicer_Performance_Category" caption="Performan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DFDE5505-2563-495C-9EBC-96C86CA1D53D}" cache="Slicer_Age" caption="Age" columnCount="3" rowHeight="241300"/>
  <slicer name="Screen Time Category 1" xr10:uid="{AC865690-757D-4F7F-A5C2-31FEEB6A5532}" cache="Slicer_Screen_Time_Category" caption="Screen Time Category" rowHeight="241300"/>
  <slicer name="Performance Category 1" xr10:uid="{704A928F-12EA-4237-B55A-3C3DA90ACE15}" cache="Slicer_Performance_Category" caption="Performance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321DC9-F632-405E-A9A3-28B684B01E09}" name="Day2_Task" displayName="Day2_Task" ref="A1:H201" tableType="queryTable" totalsRowShown="0">
  <autoFilter ref="A1:H201" xr:uid="{55321DC9-F632-405E-A9A3-28B684B01E09}"/>
  <tableColumns count="8">
    <tableColumn id="1" xr3:uid="{AB95BB8D-1D8C-4375-BCBB-935DA7801CCB}" uniqueName="1" name="Student_ID" queryTableFieldId="1"/>
    <tableColumn id="2" xr3:uid="{C7266EBF-EA52-4569-A0E0-D0F8000B060D}" uniqueName="2" name="Age" queryTableFieldId="2"/>
    <tableColumn id="3" xr3:uid="{C642563A-8D1C-44AE-86AE-D25126EF655B}" uniqueName="3" name="Study_Hours" queryTableFieldId="3"/>
    <tableColumn id="4" xr3:uid="{F4E37BD7-131A-4146-B51E-58B8B27848B4}" uniqueName="4" name="Screen_Time" queryTableFieldId="4"/>
    <tableColumn id="5" xr3:uid="{873EEF1A-A015-42DC-B53F-3407B9E25E79}" uniqueName="5" name="Test_Scores" queryTableFieldId="5"/>
    <tableColumn id="6" xr3:uid="{56327452-29D0-4C47-9BB3-786E73BCD40E}" uniqueName="6" name="Extra_Curricular_Hours" queryTableFieldId="6"/>
    <tableColumn id="7" xr3:uid="{C255144E-FE39-48EB-940D-5820FAEDDD07}" uniqueName="7" name="Screen Time Category" queryTableFieldId="7" dataDxfId="1">
      <calculatedColumnFormula>IF(D2&lt;=2,"Low",
IF(D2&lt;=4,"Moderate",
IF(D2&lt;=6,"High",
"Extremely High")))</calculatedColumnFormula>
    </tableColumn>
    <tableColumn id="8" xr3:uid="{56315D6F-CAB0-4BED-9B12-1E41D3B66A30}" uniqueName="8" name="Performance Category" queryTableFieldId="8" dataDxfId="0">
      <calculatedColumnFormula>IF(E2&gt;=90,"Excellent",
IF(E2&gt;=80,"Very Good",
IF(E2&gt;=70,"Good",
IF(E2&gt;=60,"Average","Poor"))))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158C-228C-4170-8CDD-0A01F1D55CAF}">
  <dimension ref="A1:H201"/>
  <sheetViews>
    <sheetView tabSelected="1" workbookViewId="0">
      <selection activeCell="I1" sqref="I1"/>
    </sheetView>
  </sheetViews>
  <sheetFormatPr defaultRowHeight="14.5" x14ac:dyDescent="0.35"/>
  <cols>
    <col min="1" max="1" width="12.54296875" bestFit="1" customWidth="1"/>
    <col min="2" max="2" width="6.1796875" bestFit="1" customWidth="1"/>
    <col min="3" max="3" width="13.81640625" bestFit="1" customWidth="1"/>
    <col min="4" max="4" width="13.7265625" bestFit="1" customWidth="1"/>
    <col min="5" max="5" width="13" bestFit="1" customWidth="1"/>
    <col min="6" max="6" width="22.81640625" bestFit="1" customWidth="1"/>
    <col min="7" max="7" width="21.26953125" bestFit="1" customWidth="1"/>
    <col min="8" max="8" width="22" bestFit="1" customWidth="1"/>
  </cols>
  <sheetData>
    <row r="1" spans="1:8" x14ac:dyDescent="0.35">
      <c r="A1" t="s">
        <v>0</v>
      </c>
      <c r="B1" t="s">
        <v>1</v>
      </c>
      <c r="C1" t="s">
        <v>2</v>
      </c>
      <c r="D1" t="s">
        <v>3</v>
      </c>
      <c r="E1" t="s">
        <v>4</v>
      </c>
      <c r="F1" t="s">
        <v>5</v>
      </c>
      <c r="G1" t="s">
        <v>6</v>
      </c>
      <c r="H1" t="s">
        <v>7</v>
      </c>
    </row>
    <row r="2" spans="1:8" x14ac:dyDescent="0.35">
      <c r="A2">
        <v>1</v>
      </c>
      <c r="B2">
        <v>16</v>
      </c>
      <c r="C2">
        <v>2.5</v>
      </c>
      <c r="D2">
        <v>2.7</v>
      </c>
      <c r="E2">
        <v>75</v>
      </c>
      <c r="F2">
        <v>1.6</v>
      </c>
      <c r="G2" t="str">
        <f t="shared" ref="G2:G33" si="0">IF(D2&lt;=2,"Low",
IF(D2&lt;=4,"Moderate",
IF(D2&lt;=6,"High",
"Extremely High")))</f>
        <v>Moderate</v>
      </c>
      <c r="H2" t="str">
        <f t="shared" ref="H2:H33" si="1">IF(E2&gt;=90,"Excellent",
IF(E2&gt;=80,"Very Good",
IF(E2&gt;=70,"Good",
IF(E2&gt;=60,"Average","Poor"))))</f>
        <v>Good</v>
      </c>
    </row>
    <row r="3" spans="1:8" x14ac:dyDescent="0.35">
      <c r="A3">
        <v>2</v>
      </c>
      <c r="B3">
        <v>17</v>
      </c>
      <c r="C3">
        <v>2.7</v>
      </c>
      <c r="D3">
        <v>4</v>
      </c>
      <c r="E3">
        <v>68.099999999999994</v>
      </c>
      <c r="F3">
        <v>0.7</v>
      </c>
      <c r="G3" t="str">
        <f t="shared" si="0"/>
        <v>Moderate</v>
      </c>
      <c r="H3" t="str">
        <f t="shared" si="1"/>
        <v>Average</v>
      </c>
    </row>
    <row r="4" spans="1:8" x14ac:dyDescent="0.35">
      <c r="A4">
        <v>3</v>
      </c>
      <c r="B4">
        <v>15</v>
      </c>
      <c r="C4">
        <v>3</v>
      </c>
      <c r="D4">
        <v>4.3</v>
      </c>
      <c r="E4">
        <v>67.900000000000006</v>
      </c>
      <c r="F4">
        <v>1.5</v>
      </c>
      <c r="G4" t="str">
        <f t="shared" si="0"/>
        <v>High</v>
      </c>
      <c r="H4" t="str">
        <f t="shared" si="1"/>
        <v>Average</v>
      </c>
    </row>
    <row r="5" spans="1:8" x14ac:dyDescent="0.35">
      <c r="A5">
        <v>4</v>
      </c>
      <c r="B5">
        <v>17</v>
      </c>
      <c r="C5">
        <v>3</v>
      </c>
      <c r="D5">
        <v>2.8</v>
      </c>
      <c r="E5">
        <v>47.2</v>
      </c>
      <c r="F5">
        <v>1.8</v>
      </c>
      <c r="G5" t="str">
        <f t="shared" si="0"/>
        <v>Moderate</v>
      </c>
      <c r="H5" t="str">
        <f t="shared" si="1"/>
        <v>Poor</v>
      </c>
    </row>
    <row r="6" spans="1:8" x14ac:dyDescent="0.35">
      <c r="A6">
        <v>5</v>
      </c>
      <c r="B6">
        <v>17</v>
      </c>
      <c r="C6">
        <v>2.5</v>
      </c>
      <c r="D6">
        <v>1.8</v>
      </c>
      <c r="E6">
        <v>78</v>
      </c>
      <c r="F6">
        <v>1.4</v>
      </c>
      <c r="G6" t="str">
        <f t="shared" si="0"/>
        <v>Low</v>
      </c>
      <c r="H6" t="str">
        <f t="shared" si="1"/>
        <v>Good</v>
      </c>
    </row>
    <row r="7" spans="1:8" x14ac:dyDescent="0.35">
      <c r="A7">
        <v>6</v>
      </c>
      <c r="B7">
        <v>14</v>
      </c>
      <c r="C7">
        <v>1.3</v>
      </c>
      <c r="D7">
        <v>4.4000000000000004</v>
      </c>
      <c r="E7">
        <v>71.5</v>
      </c>
      <c r="F7">
        <v>0.4</v>
      </c>
      <c r="G7" t="str">
        <f t="shared" si="0"/>
        <v>High</v>
      </c>
      <c r="H7" t="str">
        <f t="shared" si="1"/>
        <v>Good</v>
      </c>
    </row>
    <row r="8" spans="1:8" x14ac:dyDescent="0.35">
      <c r="A8">
        <v>7</v>
      </c>
      <c r="B8">
        <v>15</v>
      </c>
      <c r="C8">
        <v>3.3</v>
      </c>
      <c r="D8">
        <v>6.7</v>
      </c>
      <c r="E8">
        <v>88</v>
      </c>
      <c r="F8">
        <v>2.9</v>
      </c>
      <c r="G8" t="str">
        <f t="shared" si="0"/>
        <v>Extremely High</v>
      </c>
      <c r="H8" t="str">
        <f t="shared" si="1"/>
        <v>Very Good</v>
      </c>
    </row>
    <row r="9" spans="1:8" x14ac:dyDescent="0.35">
      <c r="A9">
        <v>8</v>
      </c>
      <c r="B9">
        <v>15</v>
      </c>
      <c r="C9">
        <v>2.9</v>
      </c>
      <c r="D9">
        <v>4.5999999999999996</v>
      </c>
      <c r="E9">
        <v>69.3</v>
      </c>
      <c r="F9">
        <v>1.6</v>
      </c>
      <c r="G9" t="str">
        <f t="shared" si="0"/>
        <v>High</v>
      </c>
      <c r="H9" t="str">
        <f t="shared" si="1"/>
        <v>Average</v>
      </c>
    </row>
    <row r="10" spans="1:8" x14ac:dyDescent="0.35">
      <c r="A10">
        <v>9</v>
      </c>
      <c r="B10">
        <v>15</v>
      </c>
      <c r="C10">
        <v>1.4</v>
      </c>
      <c r="D10">
        <v>4.0999999999999996</v>
      </c>
      <c r="E10">
        <v>75.7</v>
      </c>
      <c r="F10">
        <v>0.9</v>
      </c>
      <c r="G10" t="str">
        <f t="shared" si="0"/>
        <v>High</v>
      </c>
      <c r="H10" t="str">
        <f t="shared" si="1"/>
        <v>Good</v>
      </c>
    </row>
    <row r="11" spans="1:8" x14ac:dyDescent="0.35">
      <c r="A11">
        <v>10</v>
      </c>
      <c r="B11">
        <v>17</v>
      </c>
      <c r="C11">
        <v>1.8</v>
      </c>
      <c r="D11">
        <v>4.0999999999999996</v>
      </c>
      <c r="E11">
        <v>78.3</v>
      </c>
      <c r="F11">
        <v>2.8</v>
      </c>
      <c r="G11" t="str">
        <f t="shared" si="0"/>
        <v>High</v>
      </c>
      <c r="H11" t="str">
        <f t="shared" si="1"/>
        <v>Good</v>
      </c>
    </row>
    <row r="12" spans="1:8" x14ac:dyDescent="0.35">
      <c r="A12">
        <v>11</v>
      </c>
      <c r="B12">
        <v>16</v>
      </c>
      <c r="C12">
        <v>3.4</v>
      </c>
      <c r="D12">
        <v>3.6</v>
      </c>
      <c r="E12">
        <v>52.5</v>
      </c>
      <c r="F12">
        <v>2</v>
      </c>
      <c r="G12" t="str">
        <f t="shared" si="0"/>
        <v>Moderate</v>
      </c>
      <c r="H12" t="str">
        <f t="shared" si="1"/>
        <v>Poor</v>
      </c>
    </row>
    <row r="13" spans="1:8" x14ac:dyDescent="0.35">
      <c r="A13">
        <v>12</v>
      </c>
      <c r="B13">
        <v>15</v>
      </c>
      <c r="C13">
        <v>3.1</v>
      </c>
      <c r="D13">
        <v>5.8</v>
      </c>
      <c r="E13">
        <v>96.2</v>
      </c>
      <c r="F13">
        <v>0.5</v>
      </c>
      <c r="G13" t="str">
        <f t="shared" si="0"/>
        <v>High</v>
      </c>
      <c r="H13" t="str">
        <f t="shared" si="1"/>
        <v>Excellent</v>
      </c>
    </row>
    <row r="14" spans="1:8" x14ac:dyDescent="0.35">
      <c r="A14">
        <v>13</v>
      </c>
      <c r="B14">
        <v>17</v>
      </c>
      <c r="C14">
        <v>1.8</v>
      </c>
      <c r="D14">
        <v>4</v>
      </c>
      <c r="E14">
        <v>65.7</v>
      </c>
      <c r="F14">
        <v>0.7</v>
      </c>
      <c r="G14" t="str">
        <f t="shared" si="0"/>
        <v>Moderate</v>
      </c>
      <c r="H14" t="str">
        <f t="shared" si="1"/>
        <v>Average</v>
      </c>
    </row>
    <row r="15" spans="1:8" x14ac:dyDescent="0.35">
      <c r="A15">
        <v>14</v>
      </c>
      <c r="B15">
        <v>14</v>
      </c>
      <c r="C15">
        <v>2.2000000000000002</v>
      </c>
      <c r="D15">
        <v>2</v>
      </c>
      <c r="E15">
        <v>74.900000000000006</v>
      </c>
      <c r="F15">
        <v>1.3</v>
      </c>
      <c r="G15" t="str">
        <f t="shared" si="0"/>
        <v>Low</v>
      </c>
      <c r="H15" t="str">
        <f t="shared" si="1"/>
        <v>Good</v>
      </c>
    </row>
    <row r="16" spans="1:8" x14ac:dyDescent="0.35">
      <c r="A16">
        <v>15</v>
      </c>
      <c r="B16">
        <v>16</v>
      </c>
      <c r="C16">
        <v>2.4</v>
      </c>
      <c r="D16">
        <v>1.6</v>
      </c>
      <c r="E16">
        <v>76.400000000000006</v>
      </c>
      <c r="F16">
        <v>1.7</v>
      </c>
      <c r="G16" t="str">
        <f t="shared" si="0"/>
        <v>Low</v>
      </c>
      <c r="H16" t="str">
        <f t="shared" si="1"/>
        <v>Good</v>
      </c>
    </row>
    <row r="17" spans="1:8" x14ac:dyDescent="0.35">
      <c r="A17">
        <v>16</v>
      </c>
      <c r="B17">
        <v>14</v>
      </c>
      <c r="C17">
        <v>3.1</v>
      </c>
      <c r="D17">
        <v>4.0999999999999996</v>
      </c>
      <c r="E17">
        <v>61.9</v>
      </c>
      <c r="F17">
        <v>2</v>
      </c>
      <c r="G17" t="str">
        <f t="shared" si="0"/>
        <v>High</v>
      </c>
      <c r="H17" t="str">
        <f t="shared" si="1"/>
        <v>Average</v>
      </c>
    </row>
    <row r="18" spans="1:8" x14ac:dyDescent="0.35">
      <c r="A18">
        <v>17</v>
      </c>
      <c r="B18">
        <v>16</v>
      </c>
      <c r="C18">
        <v>3.7</v>
      </c>
      <c r="D18">
        <v>5.6</v>
      </c>
      <c r="E18">
        <v>88.5</v>
      </c>
      <c r="F18">
        <v>2.2999999999999998</v>
      </c>
      <c r="G18" t="str">
        <f t="shared" si="0"/>
        <v>High</v>
      </c>
      <c r="H18" t="str">
        <f t="shared" si="1"/>
        <v>Very Good</v>
      </c>
    </row>
    <row r="19" spans="1:8" x14ac:dyDescent="0.35">
      <c r="A19">
        <v>18</v>
      </c>
      <c r="B19">
        <v>17</v>
      </c>
      <c r="C19">
        <v>2.6</v>
      </c>
      <c r="D19">
        <v>4.4000000000000004</v>
      </c>
      <c r="E19">
        <v>72.7</v>
      </c>
      <c r="F19">
        <v>1.9</v>
      </c>
      <c r="G19" t="str">
        <f t="shared" si="0"/>
        <v>High</v>
      </c>
      <c r="H19" t="str">
        <f t="shared" si="1"/>
        <v>Good</v>
      </c>
    </row>
    <row r="20" spans="1:8" x14ac:dyDescent="0.35">
      <c r="A20">
        <v>19</v>
      </c>
      <c r="B20">
        <v>13</v>
      </c>
      <c r="C20">
        <v>2.5</v>
      </c>
      <c r="D20">
        <v>3.5</v>
      </c>
      <c r="E20">
        <v>67.900000000000006</v>
      </c>
      <c r="F20">
        <v>2.6</v>
      </c>
      <c r="G20" t="str">
        <f t="shared" si="0"/>
        <v>Moderate</v>
      </c>
      <c r="H20" t="str">
        <f t="shared" si="1"/>
        <v>Average</v>
      </c>
    </row>
    <row r="21" spans="1:8" x14ac:dyDescent="0.35">
      <c r="A21">
        <v>20</v>
      </c>
      <c r="B21">
        <v>16</v>
      </c>
      <c r="C21">
        <v>3.4</v>
      </c>
      <c r="D21">
        <v>4.7</v>
      </c>
      <c r="E21">
        <v>71.400000000000006</v>
      </c>
      <c r="F21">
        <v>1.6</v>
      </c>
      <c r="G21" t="str">
        <f t="shared" si="0"/>
        <v>High</v>
      </c>
      <c r="H21" t="str">
        <f t="shared" si="1"/>
        <v>Good</v>
      </c>
    </row>
    <row r="22" spans="1:8" x14ac:dyDescent="0.35">
      <c r="A22">
        <v>21</v>
      </c>
      <c r="B22">
        <v>14</v>
      </c>
      <c r="C22">
        <v>2.7</v>
      </c>
      <c r="D22">
        <v>4.3</v>
      </c>
      <c r="E22">
        <v>77.599999999999994</v>
      </c>
      <c r="F22">
        <v>0.9</v>
      </c>
      <c r="G22" t="str">
        <f t="shared" si="0"/>
        <v>High</v>
      </c>
      <c r="H22" t="str">
        <f t="shared" si="1"/>
        <v>Good</v>
      </c>
    </row>
    <row r="23" spans="1:8" x14ac:dyDescent="0.35">
      <c r="A23">
        <v>22</v>
      </c>
      <c r="B23">
        <v>17</v>
      </c>
      <c r="C23">
        <v>1.1000000000000001</v>
      </c>
      <c r="D23">
        <v>5.2</v>
      </c>
      <c r="E23">
        <v>70.099999999999994</v>
      </c>
      <c r="F23">
        <v>1.5</v>
      </c>
      <c r="G23" t="str">
        <f t="shared" si="0"/>
        <v>High</v>
      </c>
      <c r="H23" t="str">
        <f t="shared" si="1"/>
        <v>Good</v>
      </c>
    </row>
    <row r="24" spans="1:8" x14ac:dyDescent="0.35">
      <c r="A24">
        <v>23</v>
      </c>
      <c r="B24">
        <v>16</v>
      </c>
      <c r="C24">
        <v>1.5</v>
      </c>
      <c r="D24">
        <v>6</v>
      </c>
      <c r="E24">
        <v>78.8</v>
      </c>
      <c r="F24">
        <v>1.4</v>
      </c>
      <c r="G24" t="str">
        <f t="shared" si="0"/>
        <v>High</v>
      </c>
      <c r="H24" t="str">
        <f t="shared" si="1"/>
        <v>Good</v>
      </c>
    </row>
    <row r="25" spans="1:8" x14ac:dyDescent="0.35">
      <c r="A25">
        <v>24</v>
      </c>
      <c r="B25">
        <v>13</v>
      </c>
      <c r="C25">
        <v>3.2</v>
      </c>
      <c r="D25">
        <v>2.6</v>
      </c>
      <c r="E25">
        <v>53.2</v>
      </c>
      <c r="F25">
        <v>0</v>
      </c>
      <c r="G25" t="str">
        <f t="shared" si="0"/>
        <v>Moderate</v>
      </c>
      <c r="H25" t="str">
        <f t="shared" si="1"/>
        <v>Poor</v>
      </c>
    </row>
    <row r="26" spans="1:8" x14ac:dyDescent="0.35">
      <c r="A26">
        <v>25</v>
      </c>
      <c r="B26">
        <v>13</v>
      </c>
      <c r="C26">
        <v>0.8</v>
      </c>
      <c r="D26">
        <v>0.5</v>
      </c>
      <c r="E26">
        <v>62.5</v>
      </c>
      <c r="F26">
        <v>1.1000000000000001</v>
      </c>
      <c r="G26" t="str">
        <f t="shared" si="0"/>
        <v>Low</v>
      </c>
      <c r="H26" t="str">
        <f t="shared" si="1"/>
        <v>Average</v>
      </c>
    </row>
    <row r="27" spans="1:8" x14ac:dyDescent="0.35">
      <c r="A27">
        <v>26</v>
      </c>
      <c r="B27">
        <v>15</v>
      </c>
      <c r="C27">
        <v>2.6</v>
      </c>
      <c r="D27">
        <v>3.5</v>
      </c>
      <c r="E27">
        <v>48.6</v>
      </c>
      <c r="F27">
        <v>1.8</v>
      </c>
      <c r="G27" t="str">
        <f t="shared" si="0"/>
        <v>Moderate</v>
      </c>
      <c r="H27" t="str">
        <f t="shared" si="1"/>
        <v>Poor</v>
      </c>
    </row>
    <row r="28" spans="1:8" x14ac:dyDescent="0.35">
      <c r="A28">
        <v>27</v>
      </c>
      <c r="B28">
        <v>15</v>
      </c>
      <c r="C28">
        <v>3.5</v>
      </c>
      <c r="D28">
        <v>2.5</v>
      </c>
      <c r="E28">
        <v>90</v>
      </c>
      <c r="F28">
        <v>1.2</v>
      </c>
      <c r="G28" t="str">
        <f t="shared" si="0"/>
        <v>Moderate</v>
      </c>
      <c r="H28" t="str">
        <f t="shared" si="1"/>
        <v>Excellent</v>
      </c>
    </row>
    <row r="29" spans="1:8" x14ac:dyDescent="0.35">
      <c r="A29">
        <v>28</v>
      </c>
      <c r="B29">
        <v>14</v>
      </c>
      <c r="C29">
        <v>2.7</v>
      </c>
      <c r="D29">
        <v>5.2</v>
      </c>
      <c r="E29">
        <v>89.8</v>
      </c>
      <c r="F29">
        <v>1</v>
      </c>
      <c r="G29" t="str">
        <f t="shared" si="0"/>
        <v>High</v>
      </c>
      <c r="H29" t="str">
        <f t="shared" si="1"/>
        <v>Very Good</v>
      </c>
    </row>
    <row r="30" spans="1:8" x14ac:dyDescent="0.35">
      <c r="A30">
        <v>29</v>
      </c>
      <c r="B30">
        <v>16</v>
      </c>
      <c r="C30">
        <v>1.9</v>
      </c>
      <c r="D30">
        <v>2.9</v>
      </c>
      <c r="E30">
        <v>76.3</v>
      </c>
      <c r="F30">
        <v>2.2000000000000002</v>
      </c>
      <c r="G30" t="str">
        <f t="shared" si="0"/>
        <v>Moderate</v>
      </c>
      <c r="H30" t="str">
        <f t="shared" si="1"/>
        <v>Good</v>
      </c>
    </row>
    <row r="31" spans="1:8" x14ac:dyDescent="0.35">
      <c r="A31">
        <v>30</v>
      </c>
      <c r="B31">
        <v>16</v>
      </c>
      <c r="C31">
        <v>1.7</v>
      </c>
      <c r="D31">
        <v>1.2</v>
      </c>
      <c r="E31">
        <v>59.9</v>
      </c>
      <c r="F31">
        <v>0.8</v>
      </c>
      <c r="G31" t="str">
        <f t="shared" si="0"/>
        <v>Low</v>
      </c>
      <c r="H31" t="str">
        <f t="shared" si="1"/>
        <v>Poor</v>
      </c>
    </row>
    <row r="32" spans="1:8" x14ac:dyDescent="0.35">
      <c r="A32">
        <v>31</v>
      </c>
      <c r="B32">
        <v>15</v>
      </c>
      <c r="C32">
        <v>3.3</v>
      </c>
      <c r="D32">
        <v>3.1</v>
      </c>
      <c r="E32">
        <v>93.9</v>
      </c>
      <c r="F32">
        <v>2.1</v>
      </c>
      <c r="G32" t="str">
        <f t="shared" si="0"/>
        <v>Moderate</v>
      </c>
      <c r="H32" t="str">
        <f t="shared" si="1"/>
        <v>Excellent</v>
      </c>
    </row>
    <row r="33" spans="1:8" x14ac:dyDescent="0.35">
      <c r="A33">
        <v>32</v>
      </c>
      <c r="B33">
        <v>16</v>
      </c>
      <c r="C33">
        <v>3</v>
      </c>
      <c r="D33">
        <v>1.8</v>
      </c>
      <c r="E33">
        <v>64</v>
      </c>
      <c r="F33">
        <v>0.4</v>
      </c>
      <c r="G33" t="str">
        <f t="shared" si="0"/>
        <v>Low</v>
      </c>
      <c r="H33" t="str">
        <f t="shared" si="1"/>
        <v>Average</v>
      </c>
    </row>
    <row r="34" spans="1:8" x14ac:dyDescent="0.35">
      <c r="A34">
        <v>33</v>
      </c>
      <c r="B34">
        <v>16</v>
      </c>
      <c r="C34">
        <v>2.2000000000000002</v>
      </c>
      <c r="D34">
        <v>6.4</v>
      </c>
      <c r="E34">
        <v>67.900000000000006</v>
      </c>
      <c r="F34">
        <v>3.7</v>
      </c>
      <c r="G34" t="str">
        <f t="shared" ref="G34:G65" si="2">IF(D34&lt;=2,"Low",
IF(D34&lt;=4,"Moderate",
IF(D34&lt;=6,"High",
"Extremely High")))</f>
        <v>Extremely High</v>
      </c>
      <c r="H34" t="str">
        <f t="shared" ref="H34:H65" si="3">IF(E34&gt;=90,"Excellent",
IF(E34&gt;=80,"Very Good",
IF(E34&gt;=70,"Good",
IF(E34&gt;=60,"Average","Poor"))))</f>
        <v>Average</v>
      </c>
    </row>
    <row r="35" spans="1:8" x14ac:dyDescent="0.35">
      <c r="A35">
        <v>34</v>
      </c>
      <c r="B35">
        <v>13</v>
      </c>
      <c r="C35">
        <v>3.6</v>
      </c>
      <c r="D35">
        <v>4.7</v>
      </c>
      <c r="E35">
        <v>71.599999999999994</v>
      </c>
      <c r="F35">
        <v>1.3</v>
      </c>
      <c r="G35" t="str">
        <f t="shared" si="2"/>
        <v>High</v>
      </c>
      <c r="H35" t="str">
        <f t="shared" si="3"/>
        <v>Good</v>
      </c>
    </row>
    <row r="36" spans="1:8" x14ac:dyDescent="0.35">
      <c r="A36">
        <v>35</v>
      </c>
      <c r="B36">
        <v>15</v>
      </c>
      <c r="C36">
        <v>3.4</v>
      </c>
      <c r="D36">
        <v>5</v>
      </c>
      <c r="E36">
        <v>74.5</v>
      </c>
      <c r="F36">
        <v>1.2</v>
      </c>
      <c r="G36" t="str">
        <f t="shared" si="2"/>
        <v>High</v>
      </c>
      <c r="H36" t="str">
        <f t="shared" si="3"/>
        <v>Good</v>
      </c>
    </row>
    <row r="37" spans="1:8" x14ac:dyDescent="0.35">
      <c r="A37">
        <v>36</v>
      </c>
      <c r="B37">
        <v>17</v>
      </c>
      <c r="C37">
        <v>4.3</v>
      </c>
      <c r="D37">
        <v>4.8</v>
      </c>
      <c r="E37">
        <v>76.400000000000006</v>
      </c>
      <c r="F37">
        <v>2.4</v>
      </c>
      <c r="G37" t="str">
        <f t="shared" si="2"/>
        <v>High</v>
      </c>
      <c r="H37" t="str">
        <f t="shared" si="3"/>
        <v>Good</v>
      </c>
    </row>
    <row r="38" spans="1:8" x14ac:dyDescent="0.35">
      <c r="A38">
        <v>37</v>
      </c>
      <c r="B38">
        <v>15</v>
      </c>
      <c r="C38">
        <v>3.1</v>
      </c>
      <c r="D38">
        <v>5.3</v>
      </c>
      <c r="E38">
        <v>76.8</v>
      </c>
      <c r="F38">
        <v>1.2</v>
      </c>
      <c r="G38" t="str">
        <f t="shared" si="2"/>
        <v>High</v>
      </c>
      <c r="H38" t="str">
        <f t="shared" si="3"/>
        <v>Good</v>
      </c>
    </row>
    <row r="39" spans="1:8" x14ac:dyDescent="0.35">
      <c r="A39">
        <v>38</v>
      </c>
      <c r="B39">
        <v>17</v>
      </c>
      <c r="C39">
        <v>2.2999999999999998</v>
      </c>
      <c r="D39">
        <v>5.7</v>
      </c>
      <c r="E39">
        <v>70.900000000000006</v>
      </c>
      <c r="F39">
        <v>2.7</v>
      </c>
      <c r="G39" t="str">
        <f t="shared" si="2"/>
        <v>High</v>
      </c>
      <c r="H39" t="str">
        <f t="shared" si="3"/>
        <v>Good</v>
      </c>
    </row>
    <row r="40" spans="1:8" x14ac:dyDescent="0.35">
      <c r="A40">
        <v>39</v>
      </c>
      <c r="B40">
        <v>13</v>
      </c>
      <c r="C40">
        <v>2.4</v>
      </c>
      <c r="D40">
        <v>3.2</v>
      </c>
      <c r="E40">
        <v>76.7</v>
      </c>
      <c r="F40">
        <v>1.8</v>
      </c>
      <c r="G40" t="str">
        <f t="shared" si="2"/>
        <v>Moderate</v>
      </c>
      <c r="H40" t="str">
        <f t="shared" si="3"/>
        <v>Good</v>
      </c>
    </row>
    <row r="41" spans="1:8" x14ac:dyDescent="0.35">
      <c r="A41">
        <v>40</v>
      </c>
      <c r="B41">
        <v>14</v>
      </c>
      <c r="C41">
        <v>0.6</v>
      </c>
      <c r="D41">
        <v>1.9</v>
      </c>
      <c r="E41">
        <v>70.900000000000006</v>
      </c>
      <c r="F41">
        <v>1.4</v>
      </c>
      <c r="G41" t="str">
        <f t="shared" si="2"/>
        <v>Low</v>
      </c>
      <c r="H41" t="str">
        <f t="shared" si="3"/>
        <v>Good</v>
      </c>
    </row>
    <row r="42" spans="1:8" x14ac:dyDescent="0.35">
      <c r="A42">
        <v>41</v>
      </c>
      <c r="B42">
        <v>16</v>
      </c>
      <c r="C42">
        <v>2.7</v>
      </c>
      <c r="D42">
        <v>2.7</v>
      </c>
      <c r="E42">
        <v>75.8</v>
      </c>
      <c r="F42">
        <v>1.3</v>
      </c>
      <c r="G42" t="str">
        <f t="shared" si="2"/>
        <v>Moderate</v>
      </c>
      <c r="H42" t="str">
        <f t="shared" si="3"/>
        <v>Good</v>
      </c>
    </row>
    <row r="43" spans="1:8" x14ac:dyDescent="0.35">
      <c r="A43">
        <v>42</v>
      </c>
      <c r="B43">
        <v>13</v>
      </c>
      <c r="C43">
        <v>2.5</v>
      </c>
      <c r="D43">
        <v>3.9</v>
      </c>
      <c r="E43">
        <v>75</v>
      </c>
      <c r="F43">
        <v>2.5</v>
      </c>
      <c r="G43" t="str">
        <f t="shared" si="2"/>
        <v>Moderate</v>
      </c>
      <c r="H43" t="str">
        <f t="shared" si="3"/>
        <v>Good</v>
      </c>
    </row>
    <row r="44" spans="1:8" x14ac:dyDescent="0.35">
      <c r="A44">
        <v>43</v>
      </c>
      <c r="B44">
        <v>16</v>
      </c>
      <c r="C44">
        <v>1.2</v>
      </c>
      <c r="D44">
        <v>0.2</v>
      </c>
      <c r="E44">
        <v>77.599999999999994</v>
      </c>
      <c r="F44">
        <v>1.7</v>
      </c>
      <c r="G44" t="str">
        <f t="shared" si="2"/>
        <v>Low</v>
      </c>
      <c r="H44" t="str">
        <f t="shared" si="3"/>
        <v>Good</v>
      </c>
    </row>
    <row r="45" spans="1:8" x14ac:dyDescent="0.35">
      <c r="A45">
        <v>44</v>
      </c>
      <c r="B45">
        <v>14</v>
      </c>
      <c r="C45">
        <v>2.5</v>
      </c>
      <c r="D45">
        <v>5.7</v>
      </c>
      <c r="E45">
        <v>76.400000000000006</v>
      </c>
      <c r="F45">
        <v>1.8</v>
      </c>
      <c r="G45" t="str">
        <f t="shared" si="2"/>
        <v>High</v>
      </c>
      <c r="H45" t="str">
        <f t="shared" si="3"/>
        <v>Good</v>
      </c>
    </row>
    <row r="46" spans="1:8" x14ac:dyDescent="0.35">
      <c r="A46">
        <v>45</v>
      </c>
      <c r="B46">
        <v>14</v>
      </c>
      <c r="C46">
        <v>3.8</v>
      </c>
      <c r="D46">
        <v>1.2</v>
      </c>
      <c r="E46">
        <v>65.599999999999994</v>
      </c>
      <c r="F46">
        <v>1.9</v>
      </c>
      <c r="G46" t="str">
        <f t="shared" si="2"/>
        <v>Low</v>
      </c>
      <c r="H46" t="str">
        <f t="shared" si="3"/>
        <v>Average</v>
      </c>
    </row>
    <row r="47" spans="1:8" x14ac:dyDescent="0.35">
      <c r="A47">
        <v>46</v>
      </c>
      <c r="B47">
        <v>13</v>
      </c>
      <c r="C47">
        <v>1.8</v>
      </c>
      <c r="D47">
        <v>4.9000000000000004</v>
      </c>
      <c r="E47">
        <v>74.599999999999994</v>
      </c>
      <c r="F47">
        <v>1.6</v>
      </c>
      <c r="G47" t="str">
        <f t="shared" si="2"/>
        <v>High</v>
      </c>
      <c r="H47" t="str">
        <f t="shared" si="3"/>
        <v>Good</v>
      </c>
    </row>
    <row r="48" spans="1:8" x14ac:dyDescent="0.35">
      <c r="A48">
        <v>47</v>
      </c>
      <c r="B48">
        <v>14</v>
      </c>
      <c r="C48">
        <v>1.5</v>
      </c>
      <c r="D48">
        <v>3.7</v>
      </c>
      <c r="E48">
        <v>76.5</v>
      </c>
      <c r="F48">
        <v>1.9</v>
      </c>
      <c r="G48" t="str">
        <f t="shared" si="2"/>
        <v>Moderate</v>
      </c>
      <c r="H48" t="str">
        <f t="shared" si="3"/>
        <v>Good</v>
      </c>
    </row>
    <row r="49" spans="1:8" x14ac:dyDescent="0.35">
      <c r="A49">
        <v>48</v>
      </c>
      <c r="B49">
        <v>17</v>
      </c>
      <c r="C49">
        <v>3.6</v>
      </c>
      <c r="D49">
        <v>4.4000000000000004</v>
      </c>
      <c r="E49">
        <v>57.1</v>
      </c>
      <c r="F49">
        <v>1.4</v>
      </c>
      <c r="G49" t="str">
        <f t="shared" si="2"/>
        <v>High</v>
      </c>
      <c r="H49" t="str">
        <f t="shared" si="3"/>
        <v>Poor</v>
      </c>
    </row>
    <row r="50" spans="1:8" x14ac:dyDescent="0.35">
      <c r="A50">
        <v>49</v>
      </c>
      <c r="B50">
        <v>14</v>
      </c>
      <c r="C50">
        <v>3.1</v>
      </c>
      <c r="D50">
        <v>3.3</v>
      </c>
      <c r="E50">
        <v>67.3</v>
      </c>
      <c r="F50">
        <v>1.5</v>
      </c>
      <c r="G50" t="str">
        <f t="shared" si="2"/>
        <v>Moderate</v>
      </c>
      <c r="H50" t="str">
        <f t="shared" si="3"/>
        <v>Average</v>
      </c>
    </row>
    <row r="51" spans="1:8" x14ac:dyDescent="0.35">
      <c r="A51">
        <v>50</v>
      </c>
      <c r="B51">
        <v>16</v>
      </c>
      <c r="C51">
        <v>5.6</v>
      </c>
      <c r="D51">
        <v>4.3</v>
      </c>
      <c r="E51">
        <v>76.099999999999994</v>
      </c>
      <c r="F51">
        <v>0.6</v>
      </c>
      <c r="G51" t="str">
        <f t="shared" si="2"/>
        <v>High</v>
      </c>
      <c r="H51" t="str">
        <f t="shared" si="3"/>
        <v>Good</v>
      </c>
    </row>
    <row r="52" spans="1:8" x14ac:dyDescent="0.35">
      <c r="A52">
        <v>51</v>
      </c>
      <c r="B52">
        <v>16</v>
      </c>
      <c r="C52">
        <v>1.2</v>
      </c>
      <c r="D52">
        <v>3.3</v>
      </c>
      <c r="E52">
        <v>87.1</v>
      </c>
      <c r="F52">
        <v>1.7</v>
      </c>
      <c r="G52" t="str">
        <f t="shared" si="2"/>
        <v>Moderate</v>
      </c>
      <c r="H52" t="str">
        <f t="shared" si="3"/>
        <v>Very Good</v>
      </c>
    </row>
    <row r="53" spans="1:8" x14ac:dyDescent="0.35">
      <c r="A53">
        <v>52</v>
      </c>
      <c r="B53">
        <v>16</v>
      </c>
      <c r="C53">
        <v>3.2</v>
      </c>
      <c r="D53">
        <v>3.2</v>
      </c>
      <c r="E53">
        <v>78.2</v>
      </c>
      <c r="F53">
        <v>0.1</v>
      </c>
      <c r="G53" t="str">
        <f t="shared" si="2"/>
        <v>Moderate</v>
      </c>
      <c r="H53" t="str">
        <f t="shared" si="3"/>
        <v>Good</v>
      </c>
    </row>
    <row r="54" spans="1:8" x14ac:dyDescent="0.35">
      <c r="A54">
        <v>53</v>
      </c>
      <c r="B54">
        <v>16</v>
      </c>
      <c r="C54">
        <v>2.8</v>
      </c>
      <c r="D54">
        <v>2.7</v>
      </c>
      <c r="E54">
        <v>87.7</v>
      </c>
      <c r="F54">
        <v>1.7</v>
      </c>
      <c r="G54" t="str">
        <f t="shared" si="2"/>
        <v>Moderate</v>
      </c>
      <c r="H54" t="str">
        <f t="shared" si="3"/>
        <v>Very Good</v>
      </c>
    </row>
    <row r="55" spans="1:8" x14ac:dyDescent="0.35">
      <c r="A55">
        <v>54</v>
      </c>
      <c r="B55">
        <v>17</v>
      </c>
      <c r="C55">
        <v>2.6</v>
      </c>
      <c r="D55">
        <v>4</v>
      </c>
      <c r="E55">
        <v>66</v>
      </c>
      <c r="F55">
        <v>1.3</v>
      </c>
      <c r="G55" t="str">
        <f t="shared" si="2"/>
        <v>Moderate</v>
      </c>
      <c r="H55" t="str">
        <f t="shared" si="3"/>
        <v>Average</v>
      </c>
    </row>
    <row r="56" spans="1:8" x14ac:dyDescent="0.35">
      <c r="A56">
        <v>55</v>
      </c>
      <c r="B56">
        <v>15</v>
      </c>
      <c r="C56">
        <v>3.4</v>
      </c>
      <c r="D56">
        <v>4.5999999999999996</v>
      </c>
      <c r="E56">
        <v>72.5</v>
      </c>
      <c r="F56">
        <v>1.8</v>
      </c>
      <c r="G56" t="str">
        <f t="shared" si="2"/>
        <v>High</v>
      </c>
      <c r="H56" t="str">
        <f t="shared" si="3"/>
        <v>Good</v>
      </c>
    </row>
    <row r="57" spans="1:8" x14ac:dyDescent="0.35">
      <c r="A57">
        <v>56</v>
      </c>
      <c r="B57">
        <v>13</v>
      </c>
      <c r="C57">
        <v>2.5</v>
      </c>
      <c r="D57">
        <v>4.3</v>
      </c>
      <c r="E57">
        <v>78.099999999999994</v>
      </c>
      <c r="F57">
        <v>0.7</v>
      </c>
      <c r="G57" t="str">
        <f t="shared" si="2"/>
        <v>High</v>
      </c>
      <c r="H57" t="str">
        <f t="shared" si="3"/>
        <v>Good</v>
      </c>
    </row>
    <row r="58" spans="1:8" x14ac:dyDescent="0.35">
      <c r="A58">
        <v>57</v>
      </c>
      <c r="B58">
        <v>16</v>
      </c>
      <c r="C58">
        <v>0.6</v>
      </c>
      <c r="D58">
        <v>2.7</v>
      </c>
      <c r="E58">
        <v>46.7</v>
      </c>
      <c r="F58">
        <v>0</v>
      </c>
      <c r="G58" t="str">
        <f t="shared" si="2"/>
        <v>Moderate</v>
      </c>
      <c r="H58" t="str">
        <f t="shared" si="3"/>
        <v>Poor</v>
      </c>
    </row>
    <row r="59" spans="1:8" x14ac:dyDescent="0.35">
      <c r="A59">
        <v>58</v>
      </c>
      <c r="B59">
        <v>14</v>
      </c>
      <c r="C59">
        <v>1.7</v>
      </c>
      <c r="D59">
        <v>3.6</v>
      </c>
      <c r="E59">
        <v>70.900000000000006</v>
      </c>
      <c r="F59">
        <v>1.2</v>
      </c>
      <c r="G59" t="str">
        <f t="shared" si="2"/>
        <v>Moderate</v>
      </c>
      <c r="H59" t="str">
        <f t="shared" si="3"/>
        <v>Good</v>
      </c>
    </row>
    <row r="60" spans="1:8" x14ac:dyDescent="0.35">
      <c r="A60">
        <v>59</v>
      </c>
      <c r="B60">
        <v>16</v>
      </c>
      <c r="C60">
        <v>3.9</v>
      </c>
      <c r="D60">
        <v>2.5</v>
      </c>
      <c r="E60">
        <v>51.4</v>
      </c>
      <c r="F60">
        <v>0.7</v>
      </c>
      <c r="G60" t="str">
        <f t="shared" si="2"/>
        <v>Moderate</v>
      </c>
      <c r="H60" t="str">
        <f t="shared" si="3"/>
        <v>Poor</v>
      </c>
    </row>
    <row r="61" spans="1:8" x14ac:dyDescent="0.35">
      <c r="A61">
        <v>60</v>
      </c>
      <c r="B61">
        <v>14</v>
      </c>
      <c r="C61">
        <v>3.7</v>
      </c>
      <c r="D61">
        <v>3.3</v>
      </c>
      <c r="E61">
        <v>80</v>
      </c>
      <c r="F61">
        <v>0.1</v>
      </c>
      <c r="G61" t="str">
        <f t="shared" si="2"/>
        <v>Moderate</v>
      </c>
      <c r="H61" t="str">
        <f t="shared" si="3"/>
        <v>Very Good</v>
      </c>
    </row>
    <row r="62" spans="1:8" x14ac:dyDescent="0.35">
      <c r="A62">
        <v>61</v>
      </c>
      <c r="B62">
        <v>14</v>
      </c>
      <c r="C62">
        <v>2.1</v>
      </c>
      <c r="D62">
        <v>2.2000000000000002</v>
      </c>
      <c r="E62">
        <v>76.900000000000006</v>
      </c>
      <c r="F62">
        <v>2.1</v>
      </c>
      <c r="G62" t="str">
        <f t="shared" si="2"/>
        <v>Moderate</v>
      </c>
      <c r="H62" t="str">
        <f t="shared" si="3"/>
        <v>Good</v>
      </c>
    </row>
    <row r="63" spans="1:8" x14ac:dyDescent="0.35">
      <c r="A63">
        <v>62</v>
      </c>
      <c r="B63">
        <v>16</v>
      </c>
      <c r="C63">
        <v>3</v>
      </c>
      <c r="D63">
        <v>6.4</v>
      </c>
      <c r="E63">
        <v>46.6</v>
      </c>
      <c r="F63">
        <v>2.8</v>
      </c>
      <c r="G63" t="str">
        <f t="shared" si="2"/>
        <v>Extremely High</v>
      </c>
      <c r="H63" t="str">
        <f t="shared" si="3"/>
        <v>Poor</v>
      </c>
    </row>
    <row r="64" spans="1:8" x14ac:dyDescent="0.35">
      <c r="A64">
        <v>63</v>
      </c>
      <c r="B64">
        <v>17</v>
      </c>
      <c r="C64">
        <v>5.3</v>
      </c>
      <c r="D64">
        <v>4</v>
      </c>
      <c r="E64">
        <v>47.1</v>
      </c>
      <c r="F64">
        <v>0.9</v>
      </c>
      <c r="G64" t="str">
        <f t="shared" si="2"/>
        <v>Moderate</v>
      </c>
      <c r="H64" t="str">
        <f t="shared" si="3"/>
        <v>Poor</v>
      </c>
    </row>
    <row r="65" spans="1:8" x14ac:dyDescent="0.35">
      <c r="A65">
        <v>64</v>
      </c>
      <c r="B65">
        <v>14</v>
      </c>
      <c r="C65">
        <v>2.5</v>
      </c>
      <c r="D65">
        <v>2.7</v>
      </c>
      <c r="E65">
        <v>70.900000000000006</v>
      </c>
      <c r="F65">
        <v>1.4</v>
      </c>
      <c r="G65" t="str">
        <f t="shared" si="2"/>
        <v>Moderate</v>
      </c>
      <c r="H65" t="str">
        <f t="shared" si="3"/>
        <v>Good</v>
      </c>
    </row>
    <row r="66" spans="1:8" x14ac:dyDescent="0.35">
      <c r="A66">
        <v>65</v>
      </c>
      <c r="B66">
        <v>14</v>
      </c>
      <c r="C66">
        <v>2.5</v>
      </c>
      <c r="D66">
        <v>2</v>
      </c>
      <c r="E66">
        <v>82.1</v>
      </c>
      <c r="F66">
        <v>1.3</v>
      </c>
      <c r="G66" t="str">
        <f t="shared" ref="G66:G97" si="4">IF(D66&lt;=2,"Low",
IF(D66&lt;=4,"Moderate",
IF(D66&lt;=6,"High",
"Extremely High")))</f>
        <v>Low</v>
      </c>
      <c r="H66" t="str">
        <f t="shared" ref="H66:H97" si="5">IF(E66&gt;=90,"Excellent",
IF(E66&gt;=80,"Very Good",
IF(E66&gt;=70,"Good",
IF(E66&gt;=60,"Average","Poor"))))</f>
        <v>Very Good</v>
      </c>
    </row>
    <row r="67" spans="1:8" x14ac:dyDescent="0.35">
      <c r="A67">
        <v>66</v>
      </c>
      <c r="B67">
        <v>16</v>
      </c>
      <c r="C67">
        <v>2.7</v>
      </c>
      <c r="D67">
        <v>2.8</v>
      </c>
      <c r="E67">
        <v>61.2</v>
      </c>
      <c r="F67">
        <v>1</v>
      </c>
      <c r="G67" t="str">
        <f t="shared" si="4"/>
        <v>Moderate</v>
      </c>
      <c r="H67" t="str">
        <f t="shared" si="5"/>
        <v>Average</v>
      </c>
    </row>
    <row r="68" spans="1:8" x14ac:dyDescent="0.35">
      <c r="A68">
        <v>67</v>
      </c>
      <c r="B68">
        <v>14</v>
      </c>
      <c r="C68">
        <v>3.1</v>
      </c>
      <c r="D68">
        <v>3.3</v>
      </c>
      <c r="E68">
        <v>61.2</v>
      </c>
      <c r="F68">
        <v>2</v>
      </c>
      <c r="G68" t="str">
        <f t="shared" si="4"/>
        <v>Moderate</v>
      </c>
      <c r="H68" t="str">
        <f t="shared" si="5"/>
        <v>Average</v>
      </c>
    </row>
    <row r="69" spans="1:8" x14ac:dyDescent="0.35">
      <c r="A69">
        <v>68</v>
      </c>
      <c r="B69">
        <v>14</v>
      </c>
      <c r="C69">
        <v>2.2000000000000002</v>
      </c>
      <c r="D69">
        <v>3.9</v>
      </c>
      <c r="E69">
        <v>75.099999999999994</v>
      </c>
      <c r="F69">
        <v>2.2999999999999998</v>
      </c>
      <c r="G69" t="str">
        <f t="shared" si="4"/>
        <v>Moderate</v>
      </c>
      <c r="H69" t="str">
        <f t="shared" si="5"/>
        <v>Good</v>
      </c>
    </row>
    <row r="70" spans="1:8" x14ac:dyDescent="0.35">
      <c r="A70">
        <v>69</v>
      </c>
      <c r="B70">
        <v>16</v>
      </c>
      <c r="C70">
        <v>3.1</v>
      </c>
      <c r="D70">
        <v>3</v>
      </c>
      <c r="E70">
        <v>69.900000000000006</v>
      </c>
      <c r="F70">
        <v>0.8</v>
      </c>
      <c r="G70" t="str">
        <f t="shared" si="4"/>
        <v>Moderate</v>
      </c>
      <c r="H70" t="str">
        <f t="shared" si="5"/>
        <v>Average</v>
      </c>
    </row>
    <row r="71" spans="1:8" x14ac:dyDescent="0.35">
      <c r="A71">
        <v>70</v>
      </c>
      <c r="B71">
        <v>16</v>
      </c>
      <c r="C71">
        <v>0.6</v>
      </c>
      <c r="D71">
        <v>1.6</v>
      </c>
      <c r="E71">
        <v>80.5</v>
      </c>
      <c r="F71">
        <v>1.5</v>
      </c>
      <c r="G71" t="str">
        <f t="shared" si="4"/>
        <v>Low</v>
      </c>
      <c r="H71" t="str">
        <f t="shared" si="5"/>
        <v>Very Good</v>
      </c>
    </row>
    <row r="72" spans="1:8" x14ac:dyDescent="0.35">
      <c r="A72">
        <v>71</v>
      </c>
      <c r="B72">
        <v>13</v>
      </c>
      <c r="C72">
        <v>2.8</v>
      </c>
      <c r="D72">
        <v>1.7</v>
      </c>
      <c r="E72">
        <v>74.8</v>
      </c>
      <c r="F72">
        <v>2.5</v>
      </c>
      <c r="G72" t="str">
        <f t="shared" si="4"/>
        <v>Low</v>
      </c>
      <c r="H72" t="str">
        <f t="shared" si="5"/>
        <v>Good</v>
      </c>
    </row>
    <row r="73" spans="1:8" x14ac:dyDescent="0.35">
      <c r="A73">
        <v>72</v>
      </c>
      <c r="B73">
        <v>17</v>
      </c>
      <c r="C73">
        <v>2.6</v>
      </c>
      <c r="D73">
        <v>5</v>
      </c>
      <c r="E73">
        <v>85.8</v>
      </c>
      <c r="F73">
        <v>2.1</v>
      </c>
      <c r="G73" t="str">
        <f t="shared" si="4"/>
        <v>High</v>
      </c>
      <c r="H73" t="str">
        <f t="shared" si="5"/>
        <v>Very Good</v>
      </c>
    </row>
    <row r="74" spans="1:8" x14ac:dyDescent="0.35">
      <c r="A74">
        <v>73</v>
      </c>
      <c r="B74">
        <v>17</v>
      </c>
      <c r="C74">
        <v>2.2999999999999998</v>
      </c>
      <c r="D74">
        <v>3.8</v>
      </c>
      <c r="E74">
        <v>79.7</v>
      </c>
      <c r="F74">
        <v>2.2000000000000002</v>
      </c>
      <c r="G74" t="str">
        <f t="shared" si="4"/>
        <v>Moderate</v>
      </c>
      <c r="H74" t="str">
        <f t="shared" si="5"/>
        <v>Good</v>
      </c>
    </row>
    <row r="75" spans="1:8" x14ac:dyDescent="0.35">
      <c r="A75">
        <v>74</v>
      </c>
      <c r="B75">
        <v>14</v>
      </c>
      <c r="C75">
        <v>2</v>
      </c>
      <c r="D75">
        <v>5</v>
      </c>
      <c r="E75">
        <v>77.2</v>
      </c>
      <c r="F75">
        <v>2.6</v>
      </c>
      <c r="G75" t="str">
        <f t="shared" si="4"/>
        <v>High</v>
      </c>
      <c r="H75" t="str">
        <f t="shared" si="5"/>
        <v>Good</v>
      </c>
    </row>
    <row r="76" spans="1:8" x14ac:dyDescent="0.35">
      <c r="A76">
        <v>75</v>
      </c>
      <c r="B76">
        <v>17</v>
      </c>
      <c r="C76">
        <v>1.9</v>
      </c>
      <c r="D76">
        <v>5.2</v>
      </c>
      <c r="E76">
        <v>66.5</v>
      </c>
      <c r="F76">
        <v>2.6</v>
      </c>
      <c r="G76" t="str">
        <f t="shared" si="4"/>
        <v>High</v>
      </c>
      <c r="H76" t="str">
        <f t="shared" si="5"/>
        <v>Average</v>
      </c>
    </row>
    <row r="77" spans="1:8" x14ac:dyDescent="0.35">
      <c r="A77">
        <v>76</v>
      </c>
      <c r="B77">
        <v>14</v>
      </c>
      <c r="C77">
        <v>1.7</v>
      </c>
      <c r="D77">
        <v>4.2</v>
      </c>
      <c r="E77">
        <v>65.7</v>
      </c>
      <c r="F77">
        <v>2.2999999999999998</v>
      </c>
      <c r="G77" t="str">
        <f t="shared" si="4"/>
        <v>High</v>
      </c>
      <c r="H77" t="str">
        <f t="shared" si="5"/>
        <v>Average</v>
      </c>
    </row>
    <row r="78" spans="1:8" x14ac:dyDescent="0.35">
      <c r="A78">
        <v>77</v>
      </c>
      <c r="B78">
        <v>13</v>
      </c>
      <c r="C78">
        <v>0.2</v>
      </c>
      <c r="D78">
        <v>2.2000000000000002</v>
      </c>
      <c r="E78">
        <v>69.5</v>
      </c>
      <c r="F78">
        <v>1.6</v>
      </c>
      <c r="G78" t="str">
        <f t="shared" si="4"/>
        <v>Moderate</v>
      </c>
      <c r="H78" t="str">
        <f t="shared" si="5"/>
        <v>Average</v>
      </c>
    </row>
    <row r="79" spans="1:8" x14ac:dyDescent="0.35">
      <c r="A79">
        <v>78</v>
      </c>
      <c r="B79">
        <v>16</v>
      </c>
      <c r="C79">
        <v>2.2000000000000002</v>
      </c>
      <c r="D79">
        <v>4.3</v>
      </c>
      <c r="E79">
        <v>88.4</v>
      </c>
      <c r="F79">
        <v>1.2</v>
      </c>
      <c r="G79" t="str">
        <f t="shared" si="4"/>
        <v>High</v>
      </c>
      <c r="H79" t="str">
        <f t="shared" si="5"/>
        <v>Very Good</v>
      </c>
    </row>
    <row r="80" spans="1:8" x14ac:dyDescent="0.35">
      <c r="A80">
        <v>79</v>
      </c>
      <c r="B80">
        <v>16</v>
      </c>
      <c r="C80">
        <v>3.6</v>
      </c>
      <c r="D80">
        <v>6.1</v>
      </c>
      <c r="E80">
        <v>65.900000000000006</v>
      </c>
      <c r="F80">
        <v>1.6</v>
      </c>
      <c r="G80" t="str">
        <f t="shared" si="4"/>
        <v>Extremely High</v>
      </c>
      <c r="H80" t="str">
        <f t="shared" si="5"/>
        <v>Average</v>
      </c>
    </row>
    <row r="81" spans="1:8" x14ac:dyDescent="0.35">
      <c r="A81">
        <v>80</v>
      </c>
      <c r="B81">
        <v>16</v>
      </c>
      <c r="C81">
        <v>2.2000000000000002</v>
      </c>
      <c r="D81">
        <v>3.3</v>
      </c>
      <c r="E81">
        <v>72.599999999999994</v>
      </c>
      <c r="F81">
        <v>1.1000000000000001</v>
      </c>
      <c r="G81" t="str">
        <f t="shared" si="4"/>
        <v>Moderate</v>
      </c>
      <c r="H81" t="str">
        <f t="shared" si="5"/>
        <v>Good</v>
      </c>
    </row>
    <row r="82" spans="1:8" x14ac:dyDescent="0.35">
      <c r="A82">
        <v>81</v>
      </c>
      <c r="B82">
        <v>17</v>
      </c>
      <c r="C82">
        <v>3.1</v>
      </c>
      <c r="D82">
        <v>4.5</v>
      </c>
      <c r="E82">
        <v>47.6</v>
      </c>
      <c r="F82">
        <v>0</v>
      </c>
      <c r="G82" t="str">
        <f t="shared" si="4"/>
        <v>High</v>
      </c>
      <c r="H82" t="str">
        <f t="shared" si="5"/>
        <v>Poor</v>
      </c>
    </row>
    <row r="83" spans="1:8" x14ac:dyDescent="0.35">
      <c r="A83">
        <v>82</v>
      </c>
      <c r="B83">
        <v>13</v>
      </c>
      <c r="C83">
        <v>1.4</v>
      </c>
      <c r="D83">
        <v>4</v>
      </c>
      <c r="E83">
        <v>76.8</v>
      </c>
      <c r="F83">
        <v>1.3</v>
      </c>
      <c r="G83" t="str">
        <f t="shared" si="4"/>
        <v>Moderate</v>
      </c>
      <c r="H83" t="str">
        <f t="shared" si="5"/>
        <v>Good</v>
      </c>
    </row>
    <row r="84" spans="1:8" x14ac:dyDescent="0.35">
      <c r="A84">
        <v>83</v>
      </c>
      <c r="B84">
        <v>17</v>
      </c>
      <c r="C84">
        <v>1.2</v>
      </c>
      <c r="D84">
        <v>6.1</v>
      </c>
      <c r="E84">
        <v>92.6</v>
      </c>
      <c r="F84">
        <v>1.8</v>
      </c>
      <c r="G84" t="str">
        <f t="shared" si="4"/>
        <v>Extremely High</v>
      </c>
      <c r="H84" t="str">
        <f t="shared" si="5"/>
        <v>Excellent</v>
      </c>
    </row>
    <row r="85" spans="1:8" x14ac:dyDescent="0.35">
      <c r="A85">
        <v>84</v>
      </c>
      <c r="B85">
        <v>17</v>
      </c>
      <c r="C85">
        <v>1.7</v>
      </c>
      <c r="D85">
        <v>3</v>
      </c>
      <c r="E85">
        <v>60.7</v>
      </c>
      <c r="F85">
        <v>1</v>
      </c>
      <c r="G85" t="str">
        <f t="shared" si="4"/>
        <v>Moderate</v>
      </c>
      <c r="H85" t="str">
        <f t="shared" si="5"/>
        <v>Average</v>
      </c>
    </row>
    <row r="86" spans="1:8" x14ac:dyDescent="0.35">
      <c r="A86">
        <v>85</v>
      </c>
      <c r="B86">
        <v>13</v>
      </c>
      <c r="C86">
        <v>1.5</v>
      </c>
      <c r="D86">
        <v>5.7</v>
      </c>
      <c r="E86">
        <v>100</v>
      </c>
      <c r="F86">
        <v>1.3</v>
      </c>
      <c r="G86" t="str">
        <f t="shared" si="4"/>
        <v>High</v>
      </c>
      <c r="H86" t="str">
        <f t="shared" si="5"/>
        <v>Excellent</v>
      </c>
    </row>
    <row r="87" spans="1:8" x14ac:dyDescent="0.35">
      <c r="A87">
        <v>86</v>
      </c>
      <c r="B87">
        <v>13</v>
      </c>
      <c r="C87">
        <v>1.3</v>
      </c>
      <c r="D87">
        <v>3.4</v>
      </c>
      <c r="E87">
        <v>71.8</v>
      </c>
      <c r="F87">
        <v>1.4</v>
      </c>
      <c r="G87" t="str">
        <f t="shared" si="4"/>
        <v>Moderate</v>
      </c>
      <c r="H87" t="str">
        <f t="shared" si="5"/>
        <v>Good</v>
      </c>
    </row>
    <row r="88" spans="1:8" x14ac:dyDescent="0.35">
      <c r="A88">
        <v>87</v>
      </c>
      <c r="B88">
        <v>13</v>
      </c>
      <c r="C88">
        <v>2.9</v>
      </c>
      <c r="D88">
        <v>3</v>
      </c>
      <c r="E88">
        <v>44.3</v>
      </c>
      <c r="F88">
        <v>2.6</v>
      </c>
      <c r="G88" t="str">
        <f t="shared" si="4"/>
        <v>Moderate</v>
      </c>
      <c r="H88" t="str">
        <f t="shared" si="5"/>
        <v>Poor</v>
      </c>
    </row>
    <row r="89" spans="1:8" x14ac:dyDescent="0.35">
      <c r="A89">
        <v>88</v>
      </c>
      <c r="B89">
        <v>13</v>
      </c>
      <c r="C89">
        <v>4.3</v>
      </c>
      <c r="D89">
        <v>4.2</v>
      </c>
      <c r="E89">
        <v>66.099999999999994</v>
      </c>
      <c r="F89">
        <v>1.2</v>
      </c>
      <c r="G89" t="str">
        <f t="shared" si="4"/>
        <v>High</v>
      </c>
      <c r="H89" t="str">
        <f t="shared" si="5"/>
        <v>Average</v>
      </c>
    </row>
    <row r="90" spans="1:8" x14ac:dyDescent="0.35">
      <c r="A90">
        <v>89</v>
      </c>
      <c r="B90">
        <v>16</v>
      </c>
      <c r="C90">
        <v>1.8</v>
      </c>
      <c r="D90">
        <v>4.5</v>
      </c>
      <c r="E90">
        <v>83.3</v>
      </c>
      <c r="F90">
        <v>2.6</v>
      </c>
      <c r="G90" t="str">
        <f t="shared" si="4"/>
        <v>High</v>
      </c>
      <c r="H90" t="str">
        <f t="shared" si="5"/>
        <v>Very Good</v>
      </c>
    </row>
    <row r="91" spans="1:8" x14ac:dyDescent="0.35">
      <c r="A91">
        <v>90</v>
      </c>
      <c r="B91">
        <v>15</v>
      </c>
      <c r="C91">
        <v>2.5</v>
      </c>
      <c r="D91">
        <v>6.9</v>
      </c>
      <c r="E91">
        <v>90</v>
      </c>
      <c r="F91">
        <v>0</v>
      </c>
      <c r="G91" t="str">
        <f t="shared" si="4"/>
        <v>Extremely High</v>
      </c>
      <c r="H91" t="str">
        <f t="shared" si="5"/>
        <v>Excellent</v>
      </c>
    </row>
    <row r="92" spans="1:8" x14ac:dyDescent="0.35">
      <c r="A92">
        <v>91</v>
      </c>
      <c r="B92">
        <v>15</v>
      </c>
      <c r="C92">
        <v>3.2</v>
      </c>
      <c r="D92">
        <v>4.5</v>
      </c>
      <c r="E92">
        <v>77.2</v>
      </c>
      <c r="F92">
        <v>2.6</v>
      </c>
      <c r="G92" t="str">
        <f t="shared" si="4"/>
        <v>High</v>
      </c>
      <c r="H92" t="str">
        <f t="shared" si="5"/>
        <v>Good</v>
      </c>
    </row>
    <row r="93" spans="1:8" x14ac:dyDescent="0.35">
      <c r="A93">
        <v>92</v>
      </c>
      <c r="B93">
        <v>13</v>
      </c>
      <c r="C93">
        <v>1.1000000000000001</v>
      </c>
      <c r="D93">
        <v>4.3</v>
      </c>
      <c r="E93">
        <v>85.7</v>
      </c>
      <c r="F93">
        <v>2.5</v>
      </c>
      <c r="G93" t="str">
        <f t="shared" si="4"/>
        <v>High</v>
      </c>
      <c r="H93" t="str">
        <f t="shared" si="5"/>
        <v>Very Good</v>
      </c>
    </row>
    <row r="94" spans="1:8" x14ac:dyDescent="0.35">
      <c r="A94">
        <v>93</v>
      </c>
      <c r="B94">
        <v>15</v>
      </c>
      <c r="C94">
        <v>1.3</v>
      </c>
      <c r="D94">
        <v>6.4</v>
      </c>
      <c r="E94">
        <v>58.2</v>
      </c>
      <c r="F94">
        <v>2.2000000000000002</v>
      </c>
      <c r="G94" t="str">
        <f t="shared" si="4"/>
        <v>Extremely High</v>
      </c>
      <c r="H94" t="str">
        <f t="shared" si="5"/>
        <v>Poor</v>
      </c>
    </row>
    <row r="95" spans="1:8" x14ac:dyDescent="0.35">
      <c r="A95">
        <v>94</v>
      </c>
      <c r="B95">
        <v>15</v>
      </c>
      <c r="C95">
        <v>3</v>
      </c>
      <c r="D95">
        <v>4.9000000000000004</v>
      </c>
      <c r="E95">
        <v>63.2</v>
      </c>
      <c r="F95">
        <v>0</v>
      </c>
      <c r="G95" t="str">
        <f t="shared" si="4"/>
        <v>High</v>
      </c>
      <c r="H95" t="str">
        <f t="shared" si="5"/>
        <v>Average</v>
      </c>
    </row>
    <row r="96" spans="1:8" x14ac:dyDescent="0.35">
      <c r="A96">
        <v>95</v>
      </c>
      <c r="B96">
        <v>13</v>
      </c>
      <c r="C96">
        <v>2.2999999999999998</v>
      </c>
      <c r="D96">
        <v>3</v>
      </c>
      <c r="E96">
        <v>53.2</v>
      </c>
      <c r="F96">
        <v>2.2999999999999998</v>
      </c>
      <c r="G96" t="str">
        <f t="shared" si="4"/>
        <v>Moderate</v>
      </c>
      <c r="H96" t="str">
        <f t="shared" si="5"/>
        <v>Poor</v>
      </c>
    </row>
    <row r="97" spans="1:8" x14ac:dyDescent="0.35">
      <c r="A97">
        <v>96</v>
      </c>
      <c r="B97">
        <v>15</v>
      </c>
      <c r="C97">
        <v>1.8</v>
      </c>
      <c r="D97">
        <v>6</v>
      </c>
      <c r="E97">
        <v>63.9</v>
      </c>
      <c r="F97">
        <v>1.5</v>
      </c>
      <c r="G97" t="str">
        <f t="shared" si="4"/>
        <v>High</v>
      </c>
      <c r="H97" t="str">
        <f t="shared" si="5"/>
        <v>Average</v>
      </c>
    </row>
    <row r="98" spans="1:8" x14ac:dyDescent="0.35">
      <c r="A98">
        <v>97</v>
      </c>
      <c r="B98">
        <v>17</v>
      </c>
      <c r="C98">
        <v>2.6</v>
      </c>
      <c r="D98">
        <v>2.9</v>
      </c>
      <c r="E98">
        <v>77.599999999999994</v>
      </c>
      <c r="F98">
        <v>0</v>
      </c>
      <c r="G98" t="str">
        <f t="shared" ref="G98:G129" si="6">IF(D98&lt;=2,"Low",
IF(D98&lt;=4,"Moderate",
IF(D98&lt;=6,"High",
"Extremely High")))</f>
        <v>Moderate</v>
      </c>
      <c r="H98" t="str">
        <f t="shared" ref="H98:H129" si="7">IF(E98&gt;=90,"Excellent",
IF(E98&gt;=80,"Very Good",
IF(E98&gt;=70,"Good",
IF(E98&gt;=60,"Average","Poor"))))</f>
        <v>Good</v>
      </c>
    </row>
    <row r="99" spans="1:8" x14ac:dyDescent="0.35">
      <c r="A99">
        <v>98</v>
      </c>
      <c r="B99">
        <v>14</v>
      </c>
      <c r="C99">
        <v>2.1</v>
      </c>
      <c r="D99">
        <v>3</v>
      </c>
      <c r="E99">
        <v>72.099999999999994</v>
      </c>
      <c r="F99">
        <v>2.5</v>
      </c>
      <c r="G99" t="str">
        <f t="shared" si="6"/>
        <v>Moderate</v>
      </c>
      <c r="H99" t="str">
        <f t="shared" si="7"/>
        <v>Good</v>
      </c>
    </row>
    <row r="100" spans="1:8" x14ac:dyDescent="0.35">
      <c r="A100">
        <v>99</v>
      </c>
      <c r="B100">
        <v>14</v>
      </c>
      <c r="C100">
        <v>4.4000000000000004</v>
      </c>
      <c r="D100">
        <v>2.7</v>
      </c>
      <c r="E100">
        <v>78.7</v>
      </c>
      <c r="F100">
        <v>2.7</v>
      </c>
      <c r="G100" t="str">
        <f t="shared" si="6"/>
        <v>Moderate</v>
      </c>
      <c r="H100" t="str">
        <f t="shared" si="7"/>
        <v>Good</v>
      </c>
    </row>
    <row r="101" spans="1:8" x14ac:dyDescent="0.35">
      <c r="A101">
        <v>100</v>
      </c>
      <c r="B101">
        <v>13</v>
      </c>
      <c r="C101">
        <v>1.8</v>
      </c>
      <c r="D101">
        <v>2.6</v>
      </c>
      <c r="E101">
        <v>60.6</v>
      </c>
      <c r="F101">
        <v>0</v>
      </c>
      <c r="G101" t="str">
        <f t="shared" si="6"/>
        <v>Moderate</v>
      </c>
      <c r="H101" t="str">
        <f t="shared" si="7"/>
        <v>Average</v>
      </c>
    </row>
    <row r="102" spans="1:8" x14ac:dyDescent="0.35">
      <c r="A102">
        <v>101</v>
      </c>
      <c r="B102">
        <v>16</v>
      </c>
      <c r="C102">
        <v>1.6</v>
      </c>
      <c r="D102">
        <v>4.5</v>
      </c>
      <c r="E102">
        <v>61.2</v>
      </c>
      <c r="F102">
        <v>1.6</v>
      </c>
      <c r="G102" t="str">
        <f t="shared" si="6"/>
        <v>High</v>
      </c>
      <c r="H102" t="str">
        <f t="shared" si="7"/>
        <v>Average</v>
      </c>
    </row>
    <row r="103" spans="1:8" x14ac:dyDescent="0.35">
      <c r="A103">
        <v>102</v>
      </c>
      <c r="B103">
        <v>13</v>
      </c>
      <c r="C103">
        <v>2</v>
      </c>
      <c r="D103">
        <v>3.6</v>
      </c>
      <c r="E103">
        <v>72</v>
      </c>
      <c r="F103">
        <v>2.6</v>
      </c>
      <c r="G103" t="str">
        <f t="shared" si="6"/>
        <v>Moderate</v>
      </c>
      <c r="H103" t="str">
        <f t="shared" si="7"/>
        <v>Good</v>
      </c>
    </row>
    <row r="104" spans="1:8" x14ac:dyDescent="0.35">
      <c r="A104">
        <v>103</v>
      </c>
      <c r="B104">
        <v>16</v>
      </c>
      <c r="C104">
        <v>2.1</v>
      </c>
      <c r="D104">
        <v>0</v>
      </c>
      <c r="E104">
        <v>64</v>
      </c>
      <c r="F104">
        <v>2.5</v>
      </c>
      <c r="G104" t="str">
        <f t="shared" si="6"/>
        <v>Low</v>
      </c>
      <c r="H104" t="str">
        <f t="shared" si="7"/>
        <v>Average</v>
      </c>
    </row>
    <row r="105" spans="1:8" x14ac:dyDescent="0.35">
      <c r="A105">
        <v>104</v>
      </c>
      <c r="B105">
        <v>14</v>
      </c>
      <c r="C105">
        <v>2.5</v>
      </c>
      <c r="D105">
        <v>3.6</v>
      </c>
      <c r="E105">
        <v>83</v>
      </c>
      <c r="F105">
        <v>2.2000000000000002</v>
      </c>
      <c r="G105" t="str">
        <f t="shared" si="6"/>
        <v>Moderate</v>
      </c>
      <c r="H105" t="str">
        <f t="shared" si="7"/>
        <v>Very Good</v>
      </c>
    </row>
    <row r="106" spans="1:8" x14ac:dyDescent="0.35">
      <c r="A106">
        <v>105</v>
      </c>
      <c r="B106">
        <v>13</v>
      </c>
      <c r="C106">
        <v>0.5</v>
      </c>
      <c r="D106">
        <v>3.2</v>
      </c>
      <c r="E106">
        <v>63.7</v>
      </c>
      <c r="F106">
        <v>0</v>
      </c>
      <c r="G106" t="str">
        <f t="shared" si="6"/>
        <v>Moderate</v>
      </c>
      <c r="H106" t="str">
        <f t="shared" si="7"/>
        <v>Average</v>
      </c>
    </row>
    <row r="107" spans="1:8" x14ac:dyDescent="0.35">
      <c r="A107">
        <v>106</v>
      </c>
      <c r="B107">
        <v>17</v>
      </c>
      <c r="C107">
        <v>2.9</v>
      </c>
      <c r="D107">
        <v>5.3</v>
      </c>
      <c r="E107">
        <v>65</v>
      </c>
      <c r="F107">
        <v>2.1</v>
      </c>
      <c r="G107" t="str">
        <f t="shared" si="6"/>
        <v>High</v>
      </c>
      <c r="H107" t="str">
        <f t="shared" si="7"/>
        <v>Average</v>
      </c>
    </row>
    <row r="108" spans="1:8" x14ac:dyDescent="0.35">
      <c r="A108">
        <v>107</v>
      </c>
      <c r="B108">
        <v>15</v>
      </c>
      <c r="C108">
        <v>2</v>
      </c>
      <c r="D108">
        <v>3.2</v>
      </c>
      <c r="E108">
        <v>74.2</v>
      </c>
      <c r="F108">
        <v>1.3</v>
      </c>
      <c r="G108" t="str">
        <f t="shared" si="6"/>
        <v>Moderate</v>
      </c>
      <c r="H108" t="str">
        <f t="shared" si="7"/>
        <v>Good</v>
      </c>
    </row>
    <row r="109" spans="1:8" x14ac:dyDescent="0.35">
      <c r="A109">
        <v>108</v>
      </c>
      <c r="B109">
        <v>16</v>
      </c>
      <c r="C109">
        <v>3.3</v>
      </c>
      <c r="D109">
        <v>7.8</v>
      </c>
      <c r="E109">
        <v>66.099999999999994</v>
      </c>
      <c r="F109">
        <v>2.2999999999999998</v>
      </c>
      <c r="G109" t="str">
        <f t="shared" si="6"/>
        <v>Extremely High</v>
      </c>
      <c r="H109" t="str">
        <f t="shared" si="7"/>
        <v>Average</v>
      </c>
    </row>
    <row r="110" spans="1:8" x14ac:dyDescent="0.35">
      <c r="A110">
        <v>109</v>
      </c>
      <c r="B110">
        <v>15</v>
      </c>
      <c r="C110">
        <v>2.5</v>
      </c>
      <c r="D110">
        <v>6.1</v>
      </c>
      <c r="E110">
        <v>57.7</v>
      </c>
      <c r="F110">
        <v>1.7</v>
      </c>
      <c r="G110" t="str">
        <f t="shared" si="6"/>
        <v>Extremely High</v>
      </c>
      <c r="H110" t="str">
        <f t="shared" si="7"/>
        <v>Poor</v>
      </c>
    </row>
    <row r="111" spans="1:8" x14ac:dyDescent="0.35">
      <c r="A111">
        <v>110</v>
      </c>
      <c r="B111">
        <v>15</v>
      </c>
      <c r="C111">
        <v>3</v>
      </c>
      <c r="D111">
        <v>3.4</v>
      </c>
      <c r="E111">
        <v>59</v>
      </c>
      <c r="F111">
        <v>1.5</v>
      </c>
      <c r="G111" t="str">
        <f t="shared" si="6"/>
        <v>Moderate</v>
      </c>
      <c r="H111" t="str">
        <f t="shared" si="7"/>
        <v>Poor</v>
      </c>
    </row>
    <row r="112" spans="1:8" x14ac:dyDescent="0.35">
      <c r="A112">
        <v>111</v>
      </c>
      <c r="B112">
        <v>13</v>
      </c>
      <c r="C112">
        <v>2.1</v>
      </c>
      <c r="D112">
        <v>5.7</v>
      </c>
      <c r="E112">
        <v>75.400000000000006</v>
      </c>
      <c r="F112">
        <v>2</v>
      </c>
      <c r="G112" t="str">
        <f t="shared" si="6"/>
        <v>High</v>
      </c>
      <c r="H112" t="str">
        <f t="shared" si="7"/>
        <v>Good</v>
      </c>
    </row>
    <row r="113" spans="1:8" x14ac:dyDescent="0.35">
      <c r="A113">
        <v>112</v>
      </c>
      <c r="B113">
        <v>15</v>
      </c>
      <c r="C113">
        <v>2.9</v>
      </c>
      <c r="D113">
        <v>4</v>
      </c>
      <c r="E113">
        <v>56.4</v>
      </c>
      <c r="F113">
        <v>1.4</v>
      </c>
      <c r="G113" t="str">
        <f t="shared" si="6"/>
        <v>Moderate</v>
      </c>
      <c r="H113" t="str">
        <f t="shared" si="7"/>
        <v>Poor</v>
      </c>
    </row>
    <row r="114" spans="1:8" x14ac:dyDescent="0.35">
      <c r="A114">
        <v>113</v>
      </c>
      <c r="B114">
        <v>17</v>
      </c>
      <c r="C114">
        <v>4.2</v>
      </c>
      <c r="D114">
        <v>4.4000000000000004</v>
      </c>
      <c r="E114">
        <v>84</v>
      </c>
      <c r="F114">
        <v>1.5</v>
      </c>
      <c r="G114" t="str">
        <f t="shared" si="6"/>
        <v>High</v>
      </c>
      <c r="H114" t="str">
        <f t="shared" si="7"/>
        <v>Very Good</v>
      </c>
    </row>
    <row r="115" spans="1:8" x14ac:dyDescent="0.35">
      <c r="A115">
        <v>114</v>
      </c>
      <c r="B115">
        <v>15</v>
      </c>
      <c r="C115">
        <v>1.8</v>
      </c>
      <c r="D115">
        <v>5.2</v>
      </c>
      <c r="E115">
        <v>63.1</v>
      </c>
      <c r="F115">
        <v>1.1000000000000001</v>
      </c>
      <c r="G115" t="str">
        <f t="shared" si="6"/>
        <v>High</v>
      </c>
      <c r="H115" t="str">
        <f t="shared" si="7"/>
        <v>Average</v>
      </c>
    </row>
    <row r="116" spans="1:8" x14ac:dyDescent="0.35">
      <c r="A116">
        <v>115</v>
      </c>
      <c r="B116">
        <v>13</v>
      </c>
      <c r="C116">
        <v>2.4</v>
      </c>
      <c r="D116">
        <v>4.0999999999999996</v>
      </c>
      <c r="E116">
        <v>76.2</v>
      </c>
      <c r="F116">
        <v>0.2</v>
      </c>
      <c r="G116" t="str">
        <f t="shared" si="6"/>
        <v>High</v>
      </c>
      <c r="H116" t="str">
        <f t="shared" si="7"/>
        <v>Good</v>
      </c>
    </row>
    <row r="117" spans="1:8" x14ac:dyDescent="0.35">
      <c r="A117">
        <v>116</v>
      </c>
      <c r="B117">
        <v>17</v>
      </c>
      <c r="C117">
        <v>2</v>
      </c>
      <c r="D117">
        <v>4.4000000000000004</v>
      </c>
      <c r="E117">
        <v>63.7</v>
      </c>
      <c r="F117">
        <v>2</v>
      </c>
      <c r="G117" t="str">
        <f t="shared" si="6"/>
        <v>High</v>
      </c>
      <c r="H117" t="str">
        <f t="shared" si="7"/>
        <v>Average</v>
      </c>
    </row>
    <row r="118" spans="1:8" x14ac:dyDescent="0.35">
      <c r="A118">
        <v>117</v>
      </c>
      <c r="B118">
        <v>14</v>
      </c>
      <c r="C118">
        <v>4.0999999999999996</v>
      </c>
      <c r="D118">
        <v>5.2</v>
      </c>
      <c r="E118">
        <v>60.8</v>
      </c>
      <c r="F118">
        <v>0.9</v>
      </c>
      <c r="G118" t="str">
        <f t="shared" si="6"/>
        <v>High</v>
      </c>
      <c r="H118" t="str">
        <f t="shared" si="7"/>
        <v>Average</v>
      </c>
    </row>
    <row r="119" spans="1:8" x14ac:dyDescent="0.35">
      <c r="A119">
        <v>118</v>
      </c>
      <c r="B119">
        <v>15</v>
      </c>
      <c r="C119">
        <v>2.1</v>
      </c>
      <c r="D119">
        <v>7.1</v>
      </c>
      <c r="E119">
        <v>72.5</v>
      </c>
      <c r="F119">
        <v>1.3</v>
      </c>
      <c r="G119" t="str">
        <f t="shared" si="6"/>
        <v>Extremely High</v>
      </c>
      <c r="H119" t="str">
        <f t="shared" si="7"/>
        <v>Good</v>
      </c>
    </row>
    <row r="120" spans="1:8" x14ac:dyDescent="0.35">
      <c r="A120">
        <v>119</v>
      </c>
      <c r="B120">
        <v>13</v>
      </c>
      <c r="C120">
        <v>1.8</v>
      </c>
      <c r="D120">
        <v>4.4000000000000004</v>
      </c>
      <c r="E120">
        <v>80.5</v>
      </c>
      <c r="F120">
        <v>1.7</v>
      </c>
      <c r="G120" t="str">
        <f t="shared" si="6"/>
        <v>High</v>
      </c>
      <c r="H120" t="str">
        <f t="shared" si="7"/>
        <v>Very Good</v>
      </c>
    </row>
    <row r="121" spans="1:8" x14ac:dyDescent="0.35">
      <c r="A121">
        <v>120</v>
      </c>
      <c r="B121">
        <v>14</v>
      </c>
      <c r="C121">
        <v>1.9</v>
      </c>
      <c r="D121">
        <v>3.3</v>
      </c>
      <c r="E121">
        <v>67.5</v>
      </c>
      <c r="F121">
        <v>0</v>
      </c>
      <c r="G121" t="str">
        <f t="shared" si="6"/>
        <v>Moderate</v>
      </c>
      <c r="H121" t="str">
        <f t="shared" si="7"/>
        <v>Average</v>
      </c>
    </row>
    <row r="122" spans="1:8" x14ac:dyDescent="0.35">
      <c r="A122">
        <v>121</v>
      </c>
      <c r="B122">
        <v>14</v>
      </c>
      <c r="C122">
        <v>2.4</v>
      </c>
      <c r="D122">
        <v>1</v>
      </c>
      <c r="E122">
        <v>69.3</v>
      </c>
      <c r="F122">
        <v>0</v>
      </c>
      <c r="G122" t="str">
        <f t="shared" si="6"/>
        <v>Low</v>
      </c>
      <c r="H122" t="str">
        <f t="shared" si="7"/>
        <v>Average</v>
      </c>
    </row>
    <row r="123" spans="1:8" x14ac:dyDescent="0.35">
      <c r="A123">
        <v>122</v>
      </c>
      <c r="B123">
        <v>16</v>
      </c>
      <c r="C123">
        <v>1.7</v>
      </c>
      <c r="D123">
        <v>6.9</v>
      </c>
      <c r="E123">
        <v>78.099999999999994</v>
      </c>
      <c r="F123">
        <v>1.3</v>
      </c>
      <c r="G123" t="str">
        <f t="shared" si="6"/>
        <v>Extremely High</v>
      </c>
      <c r="H123" t="str">
        <f t="shared" si="7"/>
        <v>Good</v>
      </c>
    </row>
    <row r="124" spans="1:8" x14ac:dyDescent="0.35">
      <c r="A124">
        <v>123</v>
      </c>
      <c r="B124">
        <v>17</v>
      </c>
      <c r="C124">
        <v>2.1</v>
      </c>
      <c r="D124">
        <v>3.6</v>
      </c>
      <c r="E124">
        <v>78.400000000000006</v>
      </c>
      <c r="F124">
        <v>1.9</v>
      </c>
      <c r="G124" t="str">
        <f t="shared" si="6"/>
        <v>Moderate</v>
      </c>
      <c r="H124" t="str">
        <f t="shared" si="7"/>
        <v>Good</v>
      </c>
    </row>
    <row r="125" spans="1:8" x14ac:dyDescent="0.35">
      <c r="A125">
        <v>124</v>
      </c>
      <c r="B125">
        <v>15</v>
      </c>
      <c r="C125">
        <v>2.7</v>
      </c>
      <c r="D125">
        <v>4.8</v>
      </c>
      <c r="E125">
        <v>69.599999999999994</v>
      </c>
      <c r="F125">
        <v>2.1</v>
      </c>
      <c r="G125" t="str">
        <f t="shared" si="6"/>
        <v>High</v>
      </c>
      <c r="H125" t="str">
        <f t="shared" si="7"/>
        <v>Average</v>
      </c>
    </row>
    <row r="126" spans="1:8" x14ac:dyDescent="0.35">
      <c r="A126">
        <v>125</v>
      </c>
      <c r="B126">
        <v>13</v>
      </c>
      <c r="C126">
        <v>2.4</v>
      </c>
      <c r="D126">
        <v>6.9</v>
      </c>
      <c r="E126">
        <v>65.599999999999994</v>
      </c>
      <c r="F126">
        <v>0.2</v>
      </c>
      <c r="G126" t="str">
        <f t="shared" si="6"/>
        <v>Extremely High</v>
      </c>
      <c r="H126" t="str">
        <f t="shared" si="7"/>
        <v>Average</v>
      </c>
    </row>
    <row r="127" spans="1:8" x14ac:dyDescent="0.35">
      <c r="A127">
        <v>126</v>
      </c>
      <c r="B127">
        <v>16</v>
      </c>
      <c r="C127">
        <v>3.3</v>
      </c>
      <c r="D127">
        <v>4.3</v>
      </c>
      <c r="E127">
        <v>70.8</v>
      </c>
      <c r="F127">
        <v>2</v>
      </c>
      <c r="G127" t="str">
        <f t="shared" si="6"/>
        <v>High</v>
      </c>
      <c r="H127" t="str">
        <f t="shared" si="7"/>
        <v>Good</v>
      </c>
    </row>
    <row r="128" spans="1:8" x14ac:dyDescent="0.35">
      <c r="A128">
        <v>127</v>
      </c>
      <c r="B128">
        <v>17</v>
      </c>
      <c r="C128">
        <v>2.2000000000000002</v>
      </c>
      <c r="D128">
        <v>3.7</v>
      </c>
      <c r="E128">
        <v>68.099999999999994</v>
      </c>
      <c r="F128">
        <v>1.3</v>
      </c>
      <c r="G128" t="str">
        <f t="shared" si="6"/>
        <v>Moderate</v>
      </c>
      <c r="H128" t="str">
        <f t="shared" si="7"/>
        <v>Average</v>
      </c>
    </row>
    <row r="129" spans="1:8" x14ac:dyDescent="0.35">
      <c r="A129">
        <v>128</v>
      </c>
      <c r="B129">
        <v>16</v>
      </c>
      <c r="C129">
        <v>2.2999999999999998</v>
      </c>
      <c r="D129">
        <v>6.1</v>
      </c>
      <c r="E129">
        <v>73.099999999999994</v>
      </c>
      <c r="F129">
        <v>0.8</v>
      </c>
      <c r="G129" t="str">
        <f t="shared" si="6"/>
        <v>Extremely High</v>
      </c>
      <c r="H129" t="str">
        <f t="shared" si="7"/>
        <v>Good</v>
      </c>
    </row>
    <row r="130" spans="1:8" x14ac:dyDescent="0.35">
      <c r="A130">
        <v>129</v>
      </c>
      <c r="B130">
        <v>17</v>
      </c>
      <c r="C130">
        <v>2.8</v>
      </c>
      <c r="D130">
        <v>4.7</v>
      </c>
      <c r="E130">
        <v>58.1</v>
      </c>
      <c r="F130">
        <v>1</v>
      </c>
      <c r="G130" t="str">
        <f t="shared" ref="G130:G161" si="8">IF(D130&lt;=2,"Low",
IF(D130&lt;=4,"Moderate",
IF(D130&lt;=6,"High",
"Extremely High")))</f>
        <v>High</v>
      </c>
      <c r="H130" t="str">
        <f t="shared" ref="H130:H161" si="9">IF(E130&gt;=90,"Excellent",
IF(E130&gt;=80,"Very Good",
IF(E130&gt;=70,"Good",
IF(E130&gt;=60,"Average","Poor"))))</f>
        <v>Poor</v>
      </c>
    </row>
    <row r="131" spans="1:8" x14ac:dyDescent="0.35">
      <c r="A131">
        <v>130</v>
      </c>
      <c r="B131">
        <v>17</v>
      </c>
      <c r="C131">
        <v>4.7</v>
      </c>
      <c r="D131">
        <v>4.9000000000000004</v>
      </c>
      <c r="E131">
        <v>72.8</v>
      </c>
      <c r="F131">
        <v>2.1</v>
      </c>
      <c r="G131" t="str">
        <f t="shared" si="8"/>
        <v>High</v>
      </c>
      <c r="H131" t="str">
        <f t="shared" si="9"/>
        <v>Good</v>
      </c>
    </row>
    <row r="132" spans="1:8" x14ac:dyDescent="0.35">
      <c r="A132">
        <v>131</v>
      </c>
      <c r="B132">
        <v>15</v>
      </c>
      <c r="C132">
        <v>1.7</v>
      </c>
      <c r="D132">
        <v>1.7</v>
      </c>
      <c r="E132">
        <v>62.8</v>
      </c>
      <c r="F132">
        <v>1.7</v>
      </c>
      <c r="G132" t="str">
        <f t="shared" si="8"/>
        <v>Low</v>
      </c>
      <c r="H132" t="str">
        <f t="shared" si="9"/>
        <v>Average</v>
      </c>
    </row>
    <row r="133" spans="1:8" x14ac:dyDescent="0.35">
      <c r="A133">
        <v>132</v>
      </c>
      <c r="B133">
        <v>17</v>
      </c>
      <c r="C133">
        <v>4.4000000000000004</v>
      </c>
      <c r="D133">
        <v>5.8</v>
      </c>
      <c r="E133">
        <v>79.099999999999994</v>
      </c>
      <c r="F133">
        <v>1.5</v>
      </c>
      <c r="G133" t="str">
        <f t="shared" si="8"/>
        <v>High</v>
      </c>
      <c r="H133" t="str">
        <f t="shared" si="9"/>
        <v>Good</v>
      </c>
    </row>
    <row r="134" spans="1:8" x14ac:dyDescent="0.35">
      <c r="A134">
        <v>133</v>
      </c>
      <c r="B134">
        <v>16</v>
      </c>
      <c r="C134">
        <v>1.3</v>
      </c>
      <c r="D134">
        <v>4.5999999999999996</v>
      </c>
      <c r="E134">
        <v>63.3</v>
      </c>
      <c r="F134">
        <v>1.7</v>
      </c>
      <c r="G134" t="str">
        <f t="shared" si="8"/>
        <v>High</v>
      </c>
      <c r="H134" t="str">
        <f t="shared" si="9"/>
        <v>Average</v>
      </c>
    </row>
    <row r="135" spans="1:8" x14ac:dyDescent="0.35">
      <c r="A135">
        <v>134</v>
      </c>
      <c r="B135">
        <v>17</v>
      </c>
      <c r="C135">
        <v>2.7</v>
      </c>
      <c r="D135">
        <v>1.9</v>
      </c>
      <c r="E135">
        <v>63.4</v>
      </c>
      <c r="F135">
        <v>2.2000000000000002</v>
      </c>
      <c r="G135" t="str">
        <f t="shared" si="8"/>
        <v>Low</v>
      </c>
      <c r="H135" t="str">
        <f t="shared" si="9"/>
        <v>Average</v>
      </c>
    </row>
    <row r="136" spans="1:8" x14ac:dyDescent="0.35">
      <c r="A136">
        <v>135</v>
      </c>
      <c r="B136">
        <v>15</v>
      </c>
      <c r="C136">
        <v>2.5</v>
      </c>
      <c r="D136">
        <v>4.7</v>
      </c>
      <c r="E136">
        <v>74.5</v>
      </c>
      <c r="F136">
        <v>1.4</v>
      </c>
      <c r="G136" t="str">
        <f t="shared" si="8"/>
        <v>High</v>
      </c>
      <c r="H136" t="str">
        <f t="shared" si="9"/>
        <v>Good</v>
      </c>
    </row>
    <row r="137" spans="1:8" x14ac:dyDescent="0.35">
      <c r="A137">
        <v>136</v>
      </c>
      <c r="B137">
        <v>15</v>
      </c>
      <c r="C137">
        <v>1.7</v>
      </c>
      <c r="D137">
        <v>0.9</v>
      </c>
      <c r="E137">
        <v>70.099999999999994</v>
      </c>
      <c r="F137">
        <v>1.5</v>
      </c>
      <c r="G137" t="str">
        <f t="shared" si="8"/>
        <v>Low</v>
      </c>
      <c r="H137" t="str">
        <f t="shared" si="9"/>
        <v>Good</v>
      </c>
    </row>
    <row r="138" spans="1:8" x14ac:dyDescent="0.35">
      <c r="A138">
        <v>137</v>
      </c>
      <c r="B138">
        <v>16</v>
      </c>
      <c r="C138">
        <v>3.2</v>
      </c>
      <c r="D138">
        <v>7.5</v>
      </c>
      <c r="E138">
        <v>92.8</v>
      </c>
      <c r="F138">
        <v>2.4</v>
      </c>
      <c r="G138" t="str">
        <f t="shared" si="8"/>
        <v>Extremely High</v>
      </c>
      <c r="H138" t="str">
        <f t="shared" si="9"/>
        <v>Excellent</v>
      </c>
    </row>
    <row r="139" spans="1:8" x14ac:dyDescent="0.35">
      <c r="A139">
        <v>138</v>
      </c>
      <c r="B139">
        <v>14</v>
      </c>
      <c r="C139">
        <v>3.1</v>
      </c>
      <c r="D139">
        <v>2.2999999999999998</v>
      </c>
      <c r="E139">
        <v>70.900000000000006</v>
      </c>
      <c r="F139">
        <v>1.2</v>
      </c>
      <c r="G139" t="str">
        <f t="shared" si="8"/>
        <v>Moderate</v>
      </c>
      <c r="H139" t="str">
        <f t="shared" si="9"/>
        <v>Good</v>
      </c>
    </row>
    <row r="140" spans="1:8" x14ac:dyDescent="0.35">
      <c r="A140">
        <v>139</v>
      </c>
      <c r="B140">
        <v>14</v>
      </c>
      <c r="C140">
        <v>2</v>
      </c>
      <c r="D140">
        <v>6.4</v>
      </c>
      <c r="E140">
        <v>71.099999999999994</v>
      </c>
      <c r="F140">
        <v>2</v>
      </c>
      <c r="G140" t="str">
        <f t="shared" si="8"/>
        <v>Extremely High</v>
      </c>
      <c r="H140" t="str">
        <f t="shared" si="9"/>
        <v>Good</v>
      </c>
    </row>
    <row r="141" spans="1:8" x14ac:dyDescent="0.35">
      <c r="A141">
        <v>140</v>
      </c>
      <c r="B141">
        <v>17</v>
      </c>
      <c r="C141">
        <v>0.4</v>
      </c>
      <c r="D141">
        <v>2.8</v>
      </c>
      <c r="E141">
        <v>81.3</v>
      </c>
      <c r="F141">
        <v>1.1000000000000001</v>
      </c>
      <c r="G141" t="str">
        <f t="shared" si="8"/>
        <v>Moderate</v>
      </c>
      <c r="H141" t="str">
        <f t="shared" si="9"/>
        <v>Very Good</v>
      </c>
    </row>
    <row r="142" spans="1:8" x14ac:dyDescent="0.35">
      <c r="A142">
        <v>141</v>
      </c>
      <c r="B142">
        <v>13</v>
      </c>
      <c r="C142">
        <v>2.1</v>
      </c>
      <c r="D142">
        <v>4.8</v>
      </c>
      <c r="E142">
        <v>64.2</v>
      </c>
      <c r="F142">
        <v>1.2</v>
      </c>
      <c r="G142" t="str">
        <f t="shared" si="8"/>
        <v>High</v>
      </c>
      <c r="H142" t="str">
        <f t="shared" si="9"/>
        <v>Average</v>
      </c>
    </row>
    <row r="143" spans="1:8" x14ac:dyDescent="0.35">
      <c r="A143">
        <v>142</v>
      </c>
      <c r="B143">
        <v>17</v>
      </c>
      <c r="C143">
        <v>2.6</v>
      </c>
      <c r="D143">
        <v>2.6</v>
      </c>
      <c r="E143">
        <v>60.9</v>
      </c>
      <c r="F143">
        <v>1.4</v>
      </c>
      <c r="G143" t="str">
        <f t="shared" si="8"/>
        <v>Moderate</v>
      </c>
      <c r="H143" t="str">
        <f t="shared" si="9"/>
        <v>Average</v>
      </c>
    </row>
    <row r="144" spans="1:8" x14ac:dyDescent="0.35">
      <c r="A144">
        <v>143</v>
      </c>
      <c r="B144">
        <v>16</v>
      </c>
      <c r="C144">
        <v>2.5</v>
      </c>
      <c r="D144">
        <v>5.5</v>
      </c>
      <c r="E144">
        <v>61.3</v>
      </c>
      <c r="F144">
        <v>1.9</v>
      </c>
      <c r="G144" t="str">
        <f t="shared" si="8"/>
        <v>High</v>
      </c>
      <c r="H144" t="str">
        <f t="shared" si="9"/>
        <v>Average</v>
      </c>
    </row>
    <row r="145" spans="1:8" x14ac:dyDescent="0.35">
      <c r="A145">
        <v>144</v>
      </c>
      <c r="B145">
        <v>16</v>
      </c>
      <c r="C145">
        <v>3.3</v>
      </c>
      <c r="D145">
        <v>3.6</v>
      </c>
      <c r="E145">
        <v>53.9</v>
      </c>
      <c r="F145">
        <v>2.5</v>
      </c>
      <c r="G145" t="str">
        <f t="shared" si="8"/>
        <v>Moderate</v>
      </c>
      <c r="H145" t="str">
        <f t="shared" si="9"/>
        <v>Poor</v>
      </c>
    </row>
    <row r="146" spans="1:8" x14ac:dyDescent="0.35">
      <c r="A146">
        <v>145</v>
      </c>
      <c r="B146">
        <v>16</v>
      </c>
      <c r="C146">
        <v>4.4000000000000004</v>
      </c>
      <c r="D146">
        <v>4.7</v>
      </c>
      <c r="E146">
        <v>83.5</v>
      </c>
      <c r="F146">
        <v>1.6</v>
      </c>
      <c r="G146" t="str">
        <f t="shared" si="8"/>
        <v>High</v>
      </c>
      <c r="H146" t="str">
        <f t="shared" si="9"/>
        <v>Very Good</v>
      </c>
    </row>
    <row r="147" spans="1:8" x14ac:dyDescent="0.35">
      <c r="A147">
        <v>146</v>
      </c>
      <c r="B147">
        <v>16</v>
      </c>
      <c r="C147">
        <v>2.9</v>
      </c>
      <c r="D147">
        <v>4</v>
      </c>
      <c r="E147">
        <v>66.7</v>
      </c>
      <c r="F147">
        <v>0.3</v>
      </c>
      <c r="G147" t="str">
        <f t="shared" si="8"/>
        <v>Moderate</v>
      </c>
      <c r="H147" t="str">
        <f t="shared" si="9"/>
        <v>Average</v>
      </c>
    </row>
    <row r="148" spans="1:8" x14ac:dyDescent="0.35">
      <c r="A148">
        <v>147</v>
      </c>
      <c r="B148">
        <v>16</v>
      </c>
      <c r="C148">
        <v>3.1</v>
      </c>
      <c r="D148">
        <v>2</v>
      </c>
      <c r="E148">
        <v>65.5</v>
      </c>
      <c r="F148">
        <v>2</v>
      </c>
      <c r="G148" t="str">
        <f t="shared" si="8"/>
        <v>Low</v>
      </c>
      <c r="H148" t="str">
        <f t="shared" si="9"/>
        <v>Average</v>
      </c>
    </row>
    <row r="149" spans="1:8" x14ac:dyDescent="0.35">
      <c r="A149">
        <v>148</v>
      </c>
      <c r="B149">
        <v>15</v>
      </c>
      <c r="C149">
        <v>2.6</v>
      </c>
      <c r="D149">
        <v>4.8</v>
      </c>
      <c r="E149">
        <v>48.8</v>
      </c>
      <c r="F149">
        <v>3.5</v>
      </c>
      <c r="G149" t="str">
        <f t="shared" si="8"/>
        <v>High</v>
      </c>
      <c r="H149" t="str">
        <f t="shared" si="9"/>
        <v>Poor</v>
      </c>
    </row>
    <row r="150" spans="1:8" x14ac:dyDescent="0.35">
      <c r="A150">
        <v>149</v>
      </c>
      <c r="B150">
        <v>14</v>
      </c>
      <c r="C150">
        <v>3.7</v>
      </c>
      <c r="D150">
        <v>3.2</v>
      </c>
      <c r="E150">
        <v>55.7</v>
      </c>
      <c r="F150">
        <v>1.6</v>
      </c>
      <c r="G150" t="str">
        <f t="shared" si="8"/>
        <v>Moderate</v>
      </c>
      <c r="H150" t="str">
        <f t="shared" si="9"/>
        <v>Poor</v>
      </c>
    </row>
    <row r="151" spans="1:8" x14ac:dyDescent="0.35">
      <c r="A151">
        <v>150</v>
      </c>
      <c r="B151">
        <v>16</v>
      </c>
      <c r="C151">
        <v>3</v>
      </c>
      <c r="D151">
        <v>5.6</v>
      </c>
      <c r="E151">
        <v>84.7</v>
      </c>
      <c r="F151">
        <v>0.1</v>
      </c>
      <c r="G151" t="str">
        <f t="shared" si="8"/>
        <v>High</v>
      </c>
      <c r="H151" t="str">
        <f t="shared" si="9"/>
        <v>Very Good</v>
      </c>
    </row>
    <row r="152" spans="1:8" x14ac:dyDescent="0.35">
      <c r="A152">
        <v>151</v>
      </c>
      <c r="B152">
        <v>13</v>
      </c>
      <c r="C152">
        <v>3.2</v>
      </c>
      <c r="D152">
        <v>3.6</v>
      </c>
      <c r="E152">
        <v>73</v>
      </c>
      <c r="F152">
        <v>1.6</v>
      </c>
      <c r="G152" t="str">
        <f t="shared" si="8"/>
        <v>Moderate</v>
      </c>
      <c r="H152" t="str">
        <f t="shared" si="9"/>
        <v>Good</v>
      </c>
    </row>
    <row r="153" spans="1:8" x14ac:dyDescent="0.35">
      <c r="A153">
        <v>152</v>
      </c>
      <c r="B153">
        <v>13</v>
      </c>
      <c r="C153">
        <v>4.3</v>
      </c>
      <c r="D153">
        <v>3.9</v>
      </c>
      <c r="E153">
        <v>81.7</v>
      </c>
      <c r="F153">
        <v>1.5</v>
      </c>
      <c r="G153" t="str">
        <f t="shared" si="8"/>
        <v>Moderate</v>
      </c>
      <c r="H153" t="str">
        <f t="shared" si="9"/>
        <v>Very Good</v>
      </c>
    </row>
    <row r="154" spans="1:8" x14ac:dyDescent="0.35">
      <c r="A154">
        <v>153</v>
      </c>
      <c r="B154">
        <v>13</v>
      </c>
      <c r="C154">
        <v>2.7</v>
      </c>
      <c r="D154">
        <v>6.5</v>
      </c>
      <c r="E154">
        <v>80.400000000000006</v>
      </c>
      <c r="F154">
        <v>1.4</v>
      </c>
      <c r="G154" t="str">
        <f t="shared" si="8"/>
        <v>Extremely High</v>
      </c>
      <c r="H154" t="str">
        <f t="shared" si="9"/>
        <v>Very Good</v>
      </c>
    </row>
    <row r="155" spans="1:8" x14ac:dyDescent="0.35">
      <c r="A155">
        <v>154</v>
      </c>
      <c r="B155">
        <v>13</v>
      </c>
      <c r="C155">
        <v>2.2000000000000002</v>
      </c>
      <c r="D155">
        <v>7.6</v>
      </c>
      <c r="E155">
        <v>60</v>
      </c>
      <c r="F155">
        <v>2.2999999999999998</v>
      </c>
      <c r="G155" t="str">
        <f t="shared" si="8"/>
        <v>Extremely High</v>
      </c>
      <c r="H155" t="str">
        <f t="shared" si="9"/>
        <v>Average</v>
      </c>
    </row>
    <row r="156" spans="1:8" x14ac:dyDescent="0.35">
      <c r="A156">
        <v>155</v>
      </c>
      <c r="B156">
        <v>15</v>
      </c>
      <c r="C156">
        <v>2.9</v>
      </c>
      <c r="D156">
        <v>5.2</v>
      </c>
      <c r="E156">
        <v>94.3</v>
      </c>
      <c r="F156">
        <v>2.6</v>
      </c>
      <c r="G156" t="str">
        <f t="shared" si="8"/>
        <v>High</v>
      </c>
      <c r="H156" t="str">
        <f t="shared" si="9"/>
        <v>Excellent</v>
      </c>
    </row>
    <row r="157" spans="1:8" x14ac:dyDescent="0.35">
      <c r="A157">
        <v>156</v>
      </c>
      <c r="B157">
        <v>13</v>
      </c>
      <c r="C157">
        <v>3.6</v>
      </c>
      <c r="D157">
        <v>3.6</v>
      </c>
      <c r="E157">
        <v>89.5</v>
      </c>
      <c r="F157">
        <v>2</v>
      </c>
      <c r="G157" t="str">
        <f t="shared" si="8"/>
        <v>Moderate</v>
      </c>
      <c r="H157" t="str">
        <f t="shared" si="9"/>
        <v>Very Good</v>
      </c>
    </row>
    <row r="158" spans="1:8" x14ac:dyDescent="0.35">
      <c r="A158">
        <v>157</v>
      </c>
      <c r="B158">
        <v>16</v>
      </c>
      <c r="C158">
        <v>3</v>
      </c>
      <c r="D158">
        <v>3.4</v>
      </c>
      <c r="E158">
        <v>64.400000000000006</v>
      </c>
      <c r="F158">
        <v>1.4</v>
      </c>
      <c r="G158" t="str">
        <f t="shared" si="8"/>
        <v>Moderate</v>
      </c>
      <c r="H158" t="str">
        <f t="shared" si="9"/>
        <v>Average</v>
      </c>
    </row>
    <row r="159" spans="1:8" x14ac:dyDescent="0.35">
      <c r="A159">
        <v>158</v>
      </c>
      <c r="B159">
        <v>17</v>
      </c>
      <c r="C159">
        <v>3.6</v>
      </c>
      <c r="D159">
        <v>2.8</v>
      </c>
      <c r="E159">
        <v>34.299999999999997</v>
      </c>
      <c r="F159">
        <v>2.4</v>
      </c>
      <c r="G159" t="str">
        <f t="shared" si="8"/>
        <v>Moderate</v>
      </c>
      <c r="H159" t="str">
        <f t="shared" si="9"/>
        <v>Poor</v>
      </c>
    </row>
    <row r="160" spans="1:8" x14ac:dyDescent="0.35">
      <c r="A160">
        <v>159</v>
      </c>
      <c r="B160">
        <v>13</v>
      </c>
      <c r="C160">
        <v>1.8</v>
      </c>
      <c r="D160">
        <v>3.1</v>
      </c>
      <c r="E160">
        <v>66.400000000000006</v>
      </c>
      <c r="F160">
        <v>0.3</v>
      </c>
      <c r="G160" t="str">
        <f t="shared" si="8"/>
        <v>Moderate</v>
      </c>
      <c r="H160" t="str">
        <f t="shared" si="9"/>
        <v>Average</v>
      </c>
    </row>
    <row r="161" spans="1:8" x14ac:dyDescent="0.35">
      <c r="A161">
        <v>160</v>
      </c>
      <c r="B161">
        <v>15</v>
      </c>
      <c r="C161">
        <v>1.6</v>
      </c>
      <c r="D161">
        <v>3.6</v>
      </c>
      <c r="E161">
        <v>72.400000000000006</v>
      </c>
      <c r="F161">
        <v>0.9</v>
      </c>
      <c r="G161" t="str">
        <f t="shared" si="8"/>
        <v>Moderate</v>
      </c>
      <c r="H161" t="str">
        <f t="shared" si="9"/>
        <v>Good</v>
      </c>
    </row>
    <row r="162" spans="1:8" x14ac:dyDescent="0.35">
      <c r="A162">
        <v>161</v>
      </c>
      <c r="B162">
        <v>15</v>
      </c>
      <c r="C162">
        <v>2</v>
      </c>
      <c r="D162">
        <v>6.9</v>
      </c>
      <c r="E162">
        <v>64.3</v>
      </c>
      <c r="F162">
        <v>1</v>
      </c>
      <c r="G162" t="str">
        <f t="shared" ref="G162:G193" si="10">IF(D162&lt;=2,"Low",
IF(D162&lt;=4,"Moderate",
IF(D162&lt;=6,"High",
"Extremely High")))</f>
        <v>Extremely High</v>
      </c>
      <c r="H162" t="str">
        <f t="shared" ref="H162:H193" si="11">IF(E162&gt;=90,"Excellent",
IF(E162&gt;=80,"Very Good",
IF(E162&gt;=70,"Good",
IF(E162&gt;=60,"Average","Poor"))))</f>
        <v>Average</v>
      </c>
    </row>
    <row r="163" spans="1:8" x14ac:dyDescent="0.35">
      <c r="A163">
        <v>162</v>
      </c>
      <c r="B163">
        <v>13</v>
      </c>
      <c r="C163">
        <v>1.2</v>
      </c>
      <c r="D163">
        <v>3.7</v>
      </c>
      <c r="E163">
        <v>67.8</v>
      </c>
      <c r="F163">
        <v>1.5</v>
      </c>
      <c r="G163" t="str">
        <f t="shared" si="10"/>
        <v>Moderate</v>
      </c>
      <c r="H163" t="str">
        <f t="shared" si="11"/>
        <v>Average</v>
      </c>
    </row>
    <row r="164" spans="1:8" x14ac:dyDescent="0.35">
      <c r="A164">
        <v>163</v>
      </c>
      <c r="B164">
        <v>17</v>
      </c>
      <c r="C164">
        <v>2.6</v>
      </c>
      <c r="D164">
        <v>2.2000000000000002</v>
      </c>
      <c r="E164">
        <v>61.7</v>
      </c>
      <c r="F164">
        <v>1.9</v>
      </c>
      <c r="G164" t="str">
        <f t="shared" si="10"/>
        <v>Moderate</v>
      </c>
      <c r="H164" t="str">
        <f t="shared" si="11"/>
        <v>Average</v>
      </c>
    </row>
    <row r="165" spans="1:8" x14ac:dyDescent="0.35">
      <c r="A165">
        <v>164</v>
      </c>
      <c r="B165">
        <v>13</v>
      </c>
      <c r="C165">
        <v>2.1</v>
      </c>
      <c r="D165">
        <v>4.0999999999999996</v>
      </c>
      <c r="E165">
        <v>79.2</v>
      </c>
      <c r="F165">
        <v>1.3</v>
      </c>
      <c r="G165" t="str">
        <f t="shared" si="10"/>
        <v>High</v>
      </c>
      <c r="H165" t="str">
        <f t="shared" si="11"/>
        <v>Good</v>
      </c>
    </row>
    <row r="166" spans="1:8" x14ac:dyDescent="0.35">
      <c r="A166">
        <v>165</v>
      </c>
      <c r="B166">
        <v>15</v>
      </c>
      <c r="C166">
        <v>3.7</v>
      </c>
      <c r="D166">
        <v>4.3</v>
      </c>
      <c r="E166">
        <v>70.599999999999994</v>
      </c>
      <c r="F166">
        <v>0.8</v>
      </c>
      <c r="G166" t="str">
        <f t="shared" si="10"/>
        <v>High</v>
      </c>
      <c r="H166" t="str">
        <f t="shared" si="11"/>
        <v>Good</v>
      </c>
    </row>
    <row r="167" spans="1:8" x14ac:dyDescent="0.35">
      <c r="A167">
        <v>166</v>
      </c>
      <c r="B167">
        <v>14</v>
      </c>
      <c r="C167">
        <v>1.2</v>
      </c>
      <c r="D167">
        <v>4.0999999999999996</v>
      </c>
      <c r="E167">
        <v>79.5</v>
      </c>
      <c r="F167">
        <v>2.2999999999999998</v>
      </c>
      <c r="G167" t="str">
        <f t="shared" si="10"/>
        <v>High</v>
      </c>
      <c r="H167" t="str">
        <f t="shared" si="11"/>
        <v>Good</v>
      </c>
    </row>
    <row r="168" spans="1:8" x14ac:dyDescent="0.35">
      <c r="A168">
        <v>167</v>
      </c>
      <c r="B168">
        <v>16</v>
      </c>
      <c r="C168">
        <v>4.0999999999999996</v>
      </c>
      <c r="D168">
        <v>5.2</v>
      </c>
      <c r="E168">
        <v>82.2</v>
      </c>
      <c r="F168">
        <v>1.3</v>
      </c>
      <c r="G168" t="str">
        <f t="shared" si="10"/>
        <v>High</v>
      </c>
      <c r="H168" t="str">
        <f t="shared" si="11"/>
        <v>Very Good</v>
      </c>
    </row>
    <row r="169" spans="1:8" x14ac:dyDescent="0.35">
      <c r="A169">
        <v>168</v>
      </c>
      <c r="B169">
        <v>15</v>
      </c>
      <c r="C169">
        <v>1.5</v>
      </c>
      <c r="D169">
        <v>4.0999999999999996</v>
      </c>
      <c r="E169">
        <v>48.3</v>
      </c>
      <c r="F169">
        <v>1.6</v>
      </c>
      <c r="G169" t="str">
        <f t="shared" si="10"/>
        <v>High</v>
      </c>
      <c r="H169" t="str">
        <f t="shared" si="11"/>
        <v>Poor</v>
      </c>
    </row>
    <row r="170" spans="1:8" x14ac:dyDescent="0.35">
      <c r="A170">
        <v>169</v>
      </c>
      <c r="B170">
        <v>13</v>
      </c>
      <c r="C170">
        <v>1.3</v>
      </c>
      <c r="D170">
        <v>5.2</v>
      </c>
      <c r="E170">
        <v>62.3</v>
      </c>
      <c r="F170">
        <v>1.9</v>
      </c>
      <c r="G170" t="str">
        <f t="shared" si="10"/>
        <v>High</v>
      </c>
      <c r="H170" t="str">
        <f t="shared" si="11"/>
        <v>Average</v>
      </c>
    </row>
    <row r="171" spans="1:8" x14ac:dyDescent="0.35">
      <c r="A171">
        <v>170</v>
      </c>
      <c r="B171">
        <v>16</v>
      </c>
      <c r="C171">
        <v>1.7</v>
      </c>
      <c r="D171">
        <v>2.8</v>
      </c>
      <c r="E171">
        <v>63.8</v>
      </c>
      <c r="F171">
        <v>1.5</v>
      </c>
      <c r="G171" t="str">
        <f t="shared" si="10"/>
        <v>Moderate</v>
      </c>
      <c r="H171" t="str">
        <f t="shared" si="11"/>
        <v>Average</v>
      </c>
    </row>
    <row r="172" spans="1:8" x14ac:dyDescent="0.35">
      <c r="A172">
        <v>171</v>
      </c>
      <c r="B172">
        <v>13</v>
      </c>
      <c r="C172">
        <v>4.5</v>
      </c>
      <c r="D172">
        <v>4</v>
      </c>
      <c r="E172">
        <v>95.7</v>
      </c>
      <c r="F172">
        <v>1.5</v>
      </c>
      <c r="G172" t="str">
        <f t="shared" si="10"/>
        <v>Moderate</v>
      </c>
      <c r="H172" t="str">
        <f t="shared" si="11"/>
        <v>Excellent</v>
      </c>
    </row>
    <row r="173" spans="1:8" x14ac:dyDescent="0.35">
      <c r="A173">
        <v>172</v>
      </c>
      <c r="B173">
        <v>13</v>
      </c>
      <c r="C173">
        <v>2.5</v>
      </c>
      <c r="D173">
        <v>4.4000000000000004</v>
      </c>
      <c r="E173">
        <v>71.5</v>
      </c>
      <c r="F173">
        <v>2.2999999999999998</v>
      </c>
      <c r="G173" t="str">
        <f t="shared" si="10"/>
        <v>High</v>
      </c>
      <c r="H173" t="str">
        <f t="shared" si="11"/>
        <v>Good</v>
      </c>
    </row>
    <row r="174" spans="1:8" x14ac:dyDescent="0.35">
      <c r="A174">
        <v>173</v>
      </c>
      <c r="B174">
        <v>14</v>
      </c>
      <c r="C174">
        <v>3</v>
      </c>
      <c r="D174">
        <v>4.5999999999999996</v>
      </c>
      <c r="E174">
        <v>70.900000000000006</v>
      </c>
      <c r="F174">
        <v>1.6</v>
      </c>
      <c r="G174" t="str">
        <f t="shared" si="10"/>
        <v>High</v>
      </c>
      <c r="H174" t="str">
        <f t="shared" si="11"/>
        <v>Good</v>
      </c>
    </row>
    <row r="175" spans="1:8" x14ac:dyDescent="0.35">
      <c r="A175">
        <v>174</v>
      </c>
      <c r="B175">
        <v>16</v>
      </c>
      <c r="C175">
        <v>2.2999999999999998</v>
      </c>
      <c r="D175">
        <v>2.8</v>
      </c>
      <c r="E175">
        <v>51.2</v>
      </c>
      <c r="F175">
        <v>2.2000000000000002</v>
      </c>
      <c r="G175" t="str">
        <f t="shared" si="10"/>
        <v>Moderate</v>
      </c>
      <c r="H175" t="str">
        <f t="shared" si="11"/>
        <v>Poor</v>
      </c>
    </row>
    <row r="176" spans="1:8" x14ac:dyDescent="0.35">
      <c r="A176">
        <v>175</v>
      </c>
      <c r="B176">
        <v>16</v>
      </c>
      <c r="C176">
        <v>2.4</v>
      </c>
      <c r="D176">
        <v>4.7</v>
      </c>
      <c r="E176">
        <v>71.400000000000006</v>
      </c>
      <c r="F176">
        <v>1.9</v>
      </c>
      <c r="G176" t="str">
        <f t="shared" si="10"/>
        <v>High</v>
      </c>
      <c r="H176" t="str">
        <f t="shared" si="11"/>
        <v>Good</v>
      </c>
    </row>
    <row r="177" spans="1:8" x14ac:dyDescent="0.35">
      <c r="A177">
        <v>176</v>
      </c>
      <c r="B177">
        <v>14</v>
      </c>
      <c r="C177">
        <v>2</v>
      </c>
      <c r="D177">
        <v>5</v>
      </c>
      <c r="E177">
        <v>79.8</v>
      </c>
      <c r="F177">
        <v>3.1</v>
      </c>
      <c r="G177" t="str">
        <f t="shared" si="10"/>
        <v>High</v>
      </c>
      <c r="H177" t="str">
        <f t="shared" si="11"/>
        <v>Good</v>
      </c>
    </row>
    <row r="178" spans="1:8" x14ac:dyDescent="0.35">
      <c r="A178">
        <v>177</v>
      </c>
      <c r="B178">
        <v>15</v>
      </c>
      <c r="C178">
        <v>2.6</v>
      </c>
      <c r="D178">
        <v>2.2000000000000002</v>
      </c>
      <c r="E178">
        <v>78.599999999999994</v>
      </c>
      <c r="F178">
        <v>1.8</v>
      </c>
      <c r="G178" t="str">
        <f t="shared" si="10"/>
        <v>Moderate</v>
      </c>
      <c r="H178" t="str">
        <f t="shared" si="11"/>
        <v>Good</v>
      </c>
    </row>
    <row r="179" spans="1:8" x14ac:dyDescent="0.35">
      <c r="A179">
        <v>178</v>
      </c>
      <c r="B179">
        <v>13</v>
      </c>
      <c r="C179">
        <v>3</v>
      </c>
      <c r="D179">
        <v>1.5</v>
      </c>
      <c r="E179">
        <v>76.2</v>
      </c>
      <c r="F179">
        <v>2</v>
      </c>
      <c r="G179" t="str">
        <f t="shared" si="10"/>
        <v>Low</v>
      </c>
      <c r="H179" t="str">
        <f t="shared" si="11"/>
        <v>Good</v>
      </c>
    </row>
    <row r="180" spans="1:8" x14ac:dyDescent="0.35">
      <c r="A180">
        <v>179</v>
      </c>
      <c r="B180">
        <v>17</v>
      </c>
      <c r="C180">
        <v>4.2</v>
      </c>
      <c r="D180">
        <v>4.4000000000000004</v>
      </c>
      <c r="E180">
        <v>70.099999999999994</v>
      </c>
      <c r="F180">
        <v>2.4</v>
      </c>
      <c r="G180" t="str">
        <f t="shared" si="10"/>
        <v>High</v>
      </c>
      <c r="H180" t="str">
        <f t="shared" si="11"/>
        <v>Good</v>
      </c>
    </row>
    <row r="181" spans="1:8" x14ac:dyDescent="0.35">
      <c r="A181">
        <v>180</v>
      </c>
      <c r="B181">
        <v>13</v>
      </c>
      <c r="C181">
        <v>0.6</v>
      </c>
      <c r="D181">
        <v>3.3</v>
      </c>
      <c r="E181">
        <v>70.599999999999994</v>
      </c>
      <c r="F181">
        <v>1.6</v>
      </c>
      <c r="G181" t="str">
        <f t="shared" si="10"/>
        <v>Moderate</v>
      </c>
      <c r="H181" t="str">
        <f t="shared" si="11"/>
        <v>Good</v>
      </c>
    </row>
    <row r="182" spans="1:8" x14ac:dyDescent="0.35">
      <c r="A182">
        <v>181</v>
      </c>
      <c r="B182">
        <v>13</v>
      </c>
      <c r="C182">
        <v>4.0999999999999996</v>
      </c>
      <c r="D182">
        <v>4.4000000000000004</v>
      </c>
      <c r="E182">
        <v>53.1</v>
      </c>
      <c r="F182">
        <v>1</v>
      </c>
      <c r="G182" t="str">
        <f t="shared" si="10"/>
        <v>High</v>
      </c>
      <c r="H182" t="str">
        <f t="shared" si="11"/>
        <v>Poor</v>
      </c>
    </row>
    <row r="183" spans="1:8" x14ac:dyDescent="0.35">
      <c r="A183">
        <v>182</v>
      </c>
      <c r="B183">
        <v>15</v>
      </c>
      <c r="C183">
        <v>3</v>
      </c>
      <c r="D183">
        <v>2.1</v>
      </c>
      <c r="E183">
        <v>61</v>
      </c>
      <c r="F183">
        <v>1.1000000000000001</v>
      </c>
      <c r="G183" t="str">
        <f t="shared" si="10"/>
        <v>Moderate</v>
      </c>
      <c r="H183" t="str">
        <f t="shared" si="11"/>
        <v>Average</v>
      </c>
    </row>
    <row r="184" spans="1:8" x14ac:dyDescent="0.35">
      <c r="A184">
        <v>183</v>
      </c>
      <c r="B184">
        <v>13</v>
      </c>
      <c r="C184">
        <v>2.1</v>
      </c>
      <c r="D184">
        <v>1.7</v>
      </c>
      <c r="E184">
        <v>72.3</v>
      </c>
      <c r="F184">
        <v>1.1000000000000001</v>
      </c>
      <c r="G184" t="str">
        <f t="shared" si="10"/>
        <v>Low</v>
      </c>
      <c r="H184" t="str">
        <f t="shared" si="11"/>
        <v>Good</v>
      </c>
    </row>
    <row r="185" spans="1:8" x14ac:dyDescent="0.35">
      <c r="A185">
        <v>184</v>
      </c>
      <c r="B185">
        <v>14</v>
      </c>
      <c r="C185">
        <v>2</v>
      </c>
      <c r="D185">
        <v>4.3</v>
      </c>
      <c r="E185">
        <v>62.8</v>
      </c>
      <c r="F185">
        <v>0.7</v>
      </c>
      <c r="G185" t="str">
        <f t="shared" si="10"/>
        <v>High</v>
      </c>
      <c r="H185" t="str">
        <f t="shared" si="11"/>
        <v>Average</v>
      </c>
    </row>
    <row r="186" spans="1:8" x14ac:dyDescent="0.35">
      <c r="A186">
        <v>185</v>
      </c>
      <c r="B186">
        <v>14</v>
      </c>
      <c r="C186">
        <v>3.5</v>
      </c>
      <c r="D186">
        <v>3.5</v>
      </c>
      <c r="E186">
        <v>76.900000000000006</v>
      </c>
      <c r="F186">
        <v>1.8</v>
      </c>
      <c r="G186" t="str">
        <f t="shared" si="10"/>
        <v>Moderate</v>
      </c>
      <c r="H186" t="str">
        <f t="shared" si="11"/>
        <v>Good</v>
      </c>
    </row>
    <row r="187" spans="1:8" x14ac:dyDescent="0.35">
      <c r="A187">
        <v>186</v>
      </c>
      <c r="B187">
        <v>16</v>
      </c>
      <c r="C187">
        <v>2.7</v>
      </c>
      <c r="D187">
        <v>4</v>
      </c>
      <c r="E187">
        <v>74.7</v>
      </c>
      <c r="F187">
        <v>1</v>
      </c>
      <c r="G187" t="str">
        <f t="shared" si="10"/>
        <v>Moderate</v>
      </c>
      <c r="H187" t="str">
        <f t="shared" si="11"/>
        <v>Good</v>
      </c>
    </row>
    <row r="188" spans="1:8" x14ac:dyDescent="0.35">
      <c r="A188">
        <v>187</v>
      </c>
      <c r="B188">
        <v>17</v>
      </c>
      <c r="C188">
        <v>1</v>
      </c>
      <c r="D188">
        <v>6</v>
      </c>
      <c r="E188">
        <v>83.7</v>
      </c>
      <c r="F188">
        <v>1.7</v>
      </c>
      <c r="G188" t="str">
        <f t="shared" si="10"/>
        <v>High</v>
      </c>
      <c r="H188" t="str">
        <f t="shared" si="11"/>
        <v>Very Good</v>
      </c>
    </row>
    <row r="189" spans="1:8" x14ac:dyDescent="0.35">
      <c r="A189">
        <v>188</v>
      </c>
      <c r="B189">
        <v>13</v>
      </c>
      <c r="C189">
        <v>2.9</v>
      </c>
      <c r="D189">
        <v>2</v>
      </c>
      <c r="E189">
        <v>79.599999999999994</v>
      </c>
      <c r="F189">
        <v>1.4</v>
      </c>
      <c r="G189" t="str">
        <f t="shared" si="10"/>
        <v>Low</v>
      </c>
      <c r="H189" t="str">
        <f t="shared" si="11"/>
        <v>Good</v>
      </c>
    </row>
    <row r="190" spans="1:8" x14ac:dyDescent="0.35">
      <c r="A190">
        <v>189</v>
      </c>
      <c r="B190">
        <v>13</v>
      </c>
      <c r="C190">
        <v>3.6</v>
      </c>
      <c r="D190">
        <v>7.9</v>
      </c>
      <c r="E190">
        <v>72.3</v>
      </c>
      <c r="F190">
        <v>1.5</v>
      </c>
      <c r="G190" t="str">
        <f t="shared" si="10"/>
        <v>Extremely High</v>
      </c>
      <c r="H190" t="str">
        <f t="shared" si="11"/>
        <v>Good</v>
      </c>
    </row>
    <row r="191" spans="1:8" x14ac:dyDescent="0.35">
      <c r="A191">
        <v>190</v>
      </c>
      <c r="B191">
        <v>15</v>
      </c>
      <c r="C191">
        <v>3.4</v>
      </c>
      <c r="D191">
        <v>3.1</v>
      </c>
      <c r="E191">
        <v>77.5</v>
      </c>
      <c r="F191">
        <v>1.9</v>
      </c>
      <c r="G191" t="str">
        <f t="shared" si="10"/>
        <v>Moderate</v>
      </c>
      <c r="H191" t="str">
        <f t="shared" si="11"/>
        <v>Good</v>
      </c>
    </row>
    <row r="192" spans="1:8" x14ac:dyDescent="0.35">
      <c r="A192">
        <v>191</v>
      </c>
      <c r="B192">
        <v>14</v>
      </c>
      <c r="C192">
        <v>1.9</v>
      </c>
      <c r="D192">
        <v>4.5999999999999996</v>
      </c>
      <c r="E192">
        <v>80.099999999999994</v>
      </c>
      <c r="F192">
        <v>1.1000000000000001</v>
      </c>
      <c r="G192" t="str">
        <f t="shared" si="10"/>
        <v>High</v>
      </c>
      <c r="H192" t="str">
        <f t="shared" si="11"/>
        <v>Very Good</v>
      </c>
    </row>
    <row r="193" spans="1:8" x14ac:dyDescent="0.35">
      <c r="A193">
        <v>192</v>
      </c>
      <c r="B193">
        <v>17</v>
      </c>
      <c r="C193">
        <v>1.2</v>
      </c>
      <c r="D193">
        <v>6.5</v>
      </c>
      <c r="E193">
        <v>64.900000000000006</v>
      </c>
      <c r="F193">
        <v>2</v>
      </c>
      <c r="G193" t="str">
        <f t="shared" si="10"/>
        <v>Extremely High</v>
      </c>
      <c r="H193" t="str">
        <f t="shared" si="11"/>
        <v>Average</v>
      </c>
    </row>
    <row r="194" spans="1:8" x14ac:dyDescent="0.35">
      <c r="A194">
        <v>193</v>
      </c>
      <c r="B194">
        <v>16</v>
      </c>
      <c r="C194">
        <v>2.2000000000000002</v>
      </c>
      <c r="D194">
        <v>6.2</v>
      </c>
      <c r="E194">
        <v>66.7</v>
      </c>
      <c r="F194">
        <v>2.8</v>
      </c>
      <c r="G194" t="str">
        <f t="shared" ref="G194:G201" si="12">IF(D194&lt;=2,"Low",
IF(D194&lt;=4,"Moderate",
IF(D194&lt;=6,"High",
"Extremely High")))</f>
        <v>Extremely High</v>
      </c>
      <c r="H194" t="str">
        <f t="shared" ref="H194:H201" si="13">IF(E194&gt;=90,"Excellent",
IF(E194&gt;=80,"Very Good",
IF(E194&gt;=70,"Good",
IF(E194&gt;=60,"Average","Poor"))))</f>
        <v>Average</v>
      </c>
    </row>
    <row r="195" spans="1:8" x14ac:dyDescent="0.35">
      <c r="A195">
        <v>194</v>
      </c>
      <c r="B195">
        <v>14</v>
      </c>
      <c r="C195">
        <v>5.8</v>
      </c>
      <c r="D195">
        <v>7</v>
      </c>
      <c r="E195">
        <v>69</v>
      </c>
      <c r="F195">
        <v>1.8</v>
      </c>
      <c r="G195" t="str">
        <f t="shared" si="12"/>
        <v>Extremely High</v>
      </c>
      <c r="H195" t="str">
        <f t="shared" si="13"/>
        <v>Average</v>
      </c>
    </row>
    <row r="196" spans="1:8" x14ac:dyDescent="0.35">
      <c r="A196">
        <v>195</v>
      </c>
      <c r="B196">
        <v>16</v>
      </c>
      <c r="C196">
        <v>1</v>
      </c>
      <c r="D196">
        <v>1.7</v>
      </c>
      <c r="E196">
        <v>65.2</v>
      </c>
      <c r="F196">
        <v>0.9</v>
      </c>
      <c r="G196" t="str">
        <f t="shared" si="12"/>
        <v>Low</v>
      </c>
      <c r="H196" t="str">
        <f t="shared" si="13"/>
        <v>Average</v>
      </c>
    </row>
    <row r="197" spans="1:8" x14ac:dyDescent="0.35">
      <c r="A197">
        <v>196</v>
      </c>
      <c r="B197">
        <v>15</v>
      </c>
      <c r="C197">
        <v>1.7</v>
      </c>
      <c r="D197">
        <v>2.2999999999999998</v>
      </c>
      <c r="E197">
        <v>80.2</v>
      </c>
      <c r="F197">
        <v>1</v>
      </c>
      <c r="G197" t="str">
        <f t="shared" si="12"/>
        <v>Moderate</v>
      </c>
      <c r="H197" t="str">
        <f t="shared" si="13"/>
        <v>Very Good</v>
      </c>
    </row>
    <row r="198" spans="1:8" x14ac:dyDescent="0.35">
      <c r="A198">
        <v>197</v>
      </c>
      <c r="B198">
        <v>15</v>
      </c>
      <c r="C198">
        <v>2.9</v>
      </c>
      <c r="D198">
        <v>4.3</v>
      </c>
      <c r="E198">
        <v>63.7</v>
      </c>
      <c r="F198">
        <v>1.3</v>
      </c>
      <c r="G198" t="str">
        <f t="shared" si="12"/>
        <v>High</v>
      </c>
      <c r="H198" t="str">
        <f t="shared" si="13"/>
        <v>Average</v>
      </c>
    </row>
    <row r="199" spans="1:8" x14ac:dyDescent="0.35">
      <c r="A199">
        <v>198</v>
      </c>
      <c r="B199">
        <v>13</v>
      </c>
      <c r="C199">
        <v>2.4</v>
      </c>
      <c r="D199">
        <v>5.3</v>
      </c>
      <c r="E199">
        <v>82.5</v>
      </c>
      <c r="F199">
        <v>1</v>
      </c>
      <c r="G199" t="str">
        <f t="shared" si="12"/>
        <v>High</v>
      </c>
      <c r="H199" t="str">
        <f t="shared" si="13"/>
        <v>Very Good</v>
      </c>
    </row>
    <row r="200" spans="1:8" x14ac:dyDescent="0.35">
      <c r="A200">
        <v>199</v>
      </c>
      <c r="B200">
        <v>17</v>
      </c>
      <c r="C200">
        <v>2.2999999999999998</v>
      </c>
      <c r="D200">
        <v>4</v>
      </c>
      <c r="E200">
        <v>66.3</v>
      </c>
      <c r="F200">
        <v>0.7</v>
      </c>
      <c r="G200" t="str">
        <f t="shared" si="12"/>
        <v>Moderate</v>
      </c>
      <c r="H200" t="str">
        <f t="shared" si="13"/>
        <v>Average</v>
      </c>
    </row>
    <row r="201" spans="1:8" x14ac:dyDescent="0.35">
      <c r="A201">
        <v>200</v>
      </c>
      <c r="B201">
        <v>16</v>
      </c>
      <c r="C201">
        <v>4.5</v>
      </c>
      <c r="D201">
        <v>1.5</v>
      </c>
      <c r="E201">
        <v>74.7</v>
      </c>
      <c r="F201">
        <v>1.6</v>
      </c>
      <c r="G201" t="str">
        <f t="shared" si="12"/>
        <v>Low</v>
      </c>
      <c r="H201" t="str">
        <f t="shared" si="13"/>
        <v>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93D2-4662-4BBE-8470-E44BCD196618}">
  <dimension ref="A1:B265"/>
  <sheetViews>
    <sheetView workbookViewId="0">
      <selection activeCell="C3" sqref="C3"/>
    </sheetView>
  </sheetViews>
  <sheetFormatPr defaultRowHeight="14.5" x14ac:dyDescent="0.35"/>
  <cols>
    <col min="1" max="1" width="10.7265625" bestFit="1" customWidth="1"/>
    <col min="2" max="2" width="20.26953125" bestFit="1" customWidth="1"/>
  </cols>
  <sheetData>
    <row r="1" spans="1:2" x14ac:dyDescent="0.35">
      <c r="A1" s="4" t="s">
        <v>8</v>
      </c>
    </row>
    <row r="3" spans="1:2" x14ac:dyDescent="0.35">
      <c r="A3" s="5" t="s">
        <v>14</v>
      </c>
      <c r="B3" t="s">
        <v>15</v>
      </c>
    </row>
    <row r="4" spans="1:2" x14ac:dyDescent="0.35">
      <c r="A4" s="6" t="s">
        <v>9</v>
      </c>
      <c r="B4">
        <v>70.882608695652166</v>
      </c>
    </row>
    <row r="5" spans="1:2" x14ac:dyDescent="0.35">
      <c r="A5" s="6" t="s">
        <v>10</v>
      </c>
      <c r="B5">
        <v>68.935897435897431</v>
      </c>
    </row>
    <row r="6" spans="1:2" x14ac:dyDescent="0.35">
      <c r="A6" s="6" t="s">
        <v>11</v>
      </c>
      <c r="B6">
        <v>72.88181818181819</v>
      </c>
    </row>
    <row r="7" spans="1:2" x14ac:dyDescent="0.35">
      <c r="A7" s="6" t="s">
        <v>12</v>
      </c>
      <c r="B7">
        <v>71.081818181818193</v>
      </c>
    </row>
    <row r="8" spans="1:2" x14ac:dyDescent="0.35">
      <c r="A8" s="6" t="s">
        <v>13</v>
      </c>
      <c r="B8">
        <v>70.915000000000006</v>
      </c>
    </row>
    <row r="17" spans="1:2" x14ac:dyDescent="0.35">
      <c r="A17" s="4" t="s">
        <v>16</v>
      </c>
    </row>
    <row r="19" spans="1:2" x14ac:dyDescent="0.35">
      <c r="A19" s="5" t="s">
        <v>14</v>
      </c>
      <c r="B19" t="s">
        <v>17</v>
      </c>
    </row>
    <row r="20" spans="1:2" x14ac:dyDescent="0.35">
      <c r="A20" s="6" t="s">
        <v>9</v>
      </c>
      <c r="B20">
        <v>1.4739130434782608</v>
      </c>
    </row>
    <row r="21" spans="1:2" x14ac:dyDescent="0.35">
      <c r="A21" s="6" t="s">
        <v>10</v>
      </c>
      <c r="B21">
        <v>1.4307692307692308</v>
      </c>
    </row>
    <row r="22" spans="1:2" x14ac:dyDescent="0.35">
      <c r="A22" s="6" t="s">
        <v>11</v>
      </c>
      <c r="B22">
        <v>1.592207792207792</v>
      </c>
    </row>
    <row r="23" spans="1:2" x14ac:dyDescent="0.35">
      <c r="A23" s="6" t="s">
        <v>12</v>
      </c>
      <c r="B23">
        <v>1.8090909090909089</v>
      </c>
    </row>
    <row r="24" spans="1:2" x14ac:dyDescent="0.35">
      <c r="A24" s="6" t="s">
        <v>13</v>
      </c>
      <c r="B24">
        <v>1.5394999999999999</v>
      </c>
    </row>
    <row r="36" spans="1:2" x14ac:dyDescent="0.35">
      <c r="A36" s="4" t="s">
        <v>18</v>
      </c>
    </row>
    <row r="38" spans="1:2" x14ac:dyDescent="0.35">
      <c r="A38" s="5" t="s">
        <v>1</v>
      </c>
      <c r="B38" t="s">
        <v>15</v>
      </c>
    </row>
    <row r="39" spans="1:2" x14ac:dyDescent="0.35">
      <c r="A39" s="6">
        <v>13</v>
      </c>
      <c r="B39">
        <v>71.955813953488374</v>
      </c>
    </row>
    <row r="40" spans="1:2" x14ac:dyDescent="0.35">
      <c r="A40" s="6">
        <v>14</v>
      </c>
      <c r="B40">
        <v>72.585714285714303</v>
      </c>
    </row>
    <row r="41" spans="1:2" x14ac:dyDescent="0.35">
      <c r="A41" s="6">
        <v>15</v>
      </c>
      <c r="B41">
        <v>70.959459459459453</v>
      </c>
    </row>
    <row r="42" spans="1:2" x14ac:dyDescent="0.35">
      <c r="A42" s="6">
        <v>16</v>
      </c>
      <c r="B42">
        <v>70.591836734693871</v>
      </c>
    </row>
    <row r="43" spans="1:2" x14ac:dyDescent="0.35">
      <c r="A43" s="6">
        <v>17</v>
      </c>
      <c r="B43">
        <v>68.441666666666663</v>
      </c>
    </row>
    <row r="44" spans="1:2" x14ac:dyDescent="0.35">
      <c r="A44" s="6" t="s">
        <v>13</v>
      </c>
      <c r="B44">
        <v>70.915000000000035</v>
      </c>
    </row>
    <row r="54" spans="1:2" x14ac:dyDescent="0.35">
      <c r="A54" s="4" t="s">
        <v>19</v>
      </c>
    </row>
    <row r="55" spans="1:2" x14ac:dyDescent="0.35">
      <c r="A55" s="7" t="s">
        <v>20</v>
      </c>
      <c r="B55" s="7" t="s">
        <v>21</v>
      </c>
    </row>
    <row r="56" spans="1:2" x14ac:dyDescent="0.35">
      <c r="A56" s="1">
        <v>2.7</v>
      </c>
      <c r="B56" s="1">
        <v>75</v>
      </c>
    </row>
    <row r="57" spans="1:2" x14ac:dyDescent="0.35">
      <c r="A57" s="2">
        <v>4</v>
      </c>
      <c r="B57" s="2">
        <v>68.099999999999994</v>
      </c>
    </row>
    <row r="58" spans="1:2" x14ac:dyDescent="0.35">
      <c r="A58" s="1">
        <v>4.3</v>
      </c>
      <c r="B58" s="1">
        <v>67.900000000000006</v>
      </c>
    </row>
    <row r="59" spans="1:2" x14ac:dyDescent="0.35">
      <c r="A59" s="2">
        <v>2.8</v>
      </c>
      <c r="B59" s="2">
        <v>47.2</v>
      </c>
    </row>
    <row r="60" spans="1:2" x14ac:dyDescent="0.35">
      <c r="A60" s="1">
        <v>1.8</v>
      </c>
      <c r="B60" s="1">
        <v>78</v>
      </c>
    </row>
    <row r="61" spans="1:2" x14ac:dyDescent="0.35">
      <c r="A61" s="2">
        <v>4.4000000000000004</v>
      </c>
      <c r="B61" s="2">
        <v>71.5</v>
      </c>
    </row>
    <row r="62" spans="1:2" x14ac:dyDescent="0.35">
      <c r="A62" s="1">
        <v>6.7</v>
      </c>
      <c r="B62" s="1">
        <v>88</v>
      </c>
    </row>
    <row r="63" spans="1:2" x14ac:dyDescent="0.35">
      <c r="A63" s="2">
        <v>4.5999999999999996</v>
      </c>
      <c r="B63" s="2">
        <v>69.3</v>
      </c>
    </row>
    <row r="64" spans="1:2" x14ac:dyDescent="0.35">
      <c r="A64" s="1">
        <v>4.0999999999999996</v>
      </c>
      <c r="B64" s="1">
        <v>75.7</v>
      </c>
    </row>
    <row r="65" spans="1:2" x14ac:dyDescent="0.35">
      <c r="A65" s="2">
        <v>4.0999999999999996</v>
      </c>
      <c r="B65" s="2">
        <v>78.3</v>
      </c>
    </row>
    <row r="66" spans="1:2" x14ac:dyDescent="0.35">
      <c r="A66" s="1">
        <v>3.6</v>
      </c>
      <c r="B66" s="1">
        <v>52.5</v>
      </c>
    </row>
    <row r="67" spans="1:2" x14ac:dyDescent="0.35">
      <c r="A67" s="2">
        <v>5.8</v>
      </c>
      <c r="B67" s="2">
        <v>96.2</v>
      </c>
    </row>
    <row r="68" spans="1:2" x14ac:dyDescent="0.35">
      <c r="A68" s="1">
        <v>4</v>
      </c>
      <c r="B68" s="1">
        <v>65.7</v>
      </c>
    </row>
    <row r="69" spans="1:2" x14ac:dyDescent="0.35">
      <c r="A69" s="2">
        <v>2</v>
      </c>
      <c r="B69" s="2">
        <v>74.900000000000006</v>
      </c>
    </row>
    <row r="70" spans="1:2" x14ac:dyDescent="0.35">
      <c r="A70" s="1">
        <v>1.6</v>
      </c>
      <c r="B70" s="1">
        <v>76.400000000000006</v>
      </c>
    </row>
    <row r="71" spans="1:2" x14ac:dyDescent="0.35">
      <c r="A71" s="2">
        <v>4.0999999999999996</v>
      </c>
      <c r="B71" s="2">
        <v>61.9</v>
      </c>
    </row>
    <row r="72" spans="1:2" x14ac:dyDescent="0.35">
      <c r="A72" s="1">
        <v>5.6</v>
      </c>
      <c r="B72" s="1">
        <v>88.5</v>
      </c>
    </row>
    <row r="73" spans="1:2" x14ac:dyDescent="0.35">
      <c r="A73" s="2">
        <v>4.4000000000000004</v>
      </c>
      <c r="B73" s="2">
        <v>72.7</v>
      </c>
    </row>
    <row r="74" spans="1:2" x14ac:dyDescent="0.35">
      <c r="A74" s="1">
        <v>3.5</v>
      </c>
      <c r="B74" s="1">
        <v>67.900000000000006</v>
      </c>
    </row>
    <row r="75" spans="1:2" x14ac:dyDescent="0.35">
      <c r="A75" s="2">
        <v>4.7</v>
      </c>
      <c r="B75" s="2">
        <v>71.400000000000006</v>
      </c>
    </row>
    <row r="76" spans="1:2" x14ac:dyDescent="0.35">
      <c r="A76" s="1">
        <v>4.3</v>
      </c>
      <c r="B76" s="1">
        <v>77.599999999999994</v>
      </c>
    </row>
    <row r="77" spans="1:2" x14ac:dyDescent="0.35">
      <c r="A77" s="2">
        <v>5.2</v>
      </c>
      <c r="B77" s="2">
        <v>70.099999999999994</v>
      </c>
    </row>
    <row r="78" spans="1:2" x14ac:dyDescent="0.35">
      <c r="A78" s="1">
        <v>6</v>
      </c>
      <c r="B78" s="1">
        <v>78.8</v>
      </c>
    </row>
    <row r="79" spans="1:2" x14ac:dyDescent="0.35">
      <c r="A79" s="2">
        <v>2.6</v>
      </c>
      <c r="B79" s="2">
        <v>53.2</v>
      </c>
    </row>
    <row r="80" spans="1:2" x14ac:dyDescent="0.35">
      <c r="A80" s="1">
        <v>0.5</v>
      </c>
      <c r="B80" s="1">
        <v>62.5</v>
      </c>
    </row>
    <row r="81" spans="1:2" x14ac:dyDescent="0.35">
      <c r="A81" s="2">
        <v>3.5</v>
      </c>
      <c r="B81" s="2">
        <v>48.6</v>
      </c>
    </row>
    <row r="82" spans="1:2" x14ac:dyDescent="0.35">
      <c r="A82" s="1">
        <v>2.5</v>
      </c>
      <c r="B82" s="1">
        <v>90</v>
      </c>
    </row>
    <row r="83" spans="1:2" x14ac:dyDescent="0.35">
      <c r="A83" s="2">
        <v>5.2</v>
      </c>
      <c r="B83" s="2">
        <v>89.8</v>
      </c>
    </row>
    <row r="84" spans="1:2" x14ac:dyDescent="0.35">
      <c r="A84" s="1">
        <v>2.9</v>
      </c>
      <c r="B84" s="1">
        <v>76.3</v>
      </c>
    </row>
    <row r="85" spans="1:2" x14ac:dyDescent="0.35">
      <c r="A85" s="2">
        <v>1.2</v>
      </c>
      <c r="B85" s="2">
        <v>59.9</v>
      </c>
    </row>
    <row r="86" spans="1:2" x14ac:dyDescent="0.35">
      <c r="A86" s="1">
        <v>3.1</v>
      </c>
      <c r="B86" s="1">
        <v>93.9</v>
      </c>
    </row>
    <row r="87" spans="1:2" x14ac:dyDescent="0.35">
      <c r="A87" s="2">
        <v>1.8</v>
      </c>
      <c r="B87" s="2">
        <v>64</v>
      </c>
    </row>
    <row r="88" spans="1:2" x14ac:dyDescent="0.35">
      <c r="A88" s="1">
        <v>6.4</v>
      </c>
      <c r="B88" s="1">
        <v>67.900000000000006</v>
      </c>
    </row>
    <row r="89" spans="1:2" x14ac:dyDescent="0.35">
      <c r="A89" s="2">
        <v>4.7</v>
      </c>
      <c r="B89" s="2">
        <v>71.599999999999994</v>
      </c>
    </row>
    <row r="90" spans="1:2" x14ac:dyDescent="0.35">
      <c r="A90" s="1">
        <v>5</v>
      </c>
      <c r="B90" s="1">
        <v>74.5</v>
      </c>
    </row>
    <row r="91" spans="1:2" x14ac:dyDescent="0.35">
      <c r="A91" s="2">
        <v>4.8</v>
      </c>
      <c r="B91" s="2">
        <v>76.400000000000006</v>
      </c>
    </row>
    <row r="92" spans="1:2" x14ac:dyDescent="0.35">
      <c r="A92" s="1">
        <v>5.3</v>
      </c>
      <c r="B92" s="1">
        <v>76.8</v>
      </c>
    </row>
    <row r="93" spans="1:2" x14ac:dyDescent="0.35">
      <c r="A93" s="2">
        <v>5.7</v>
      </c>
      <c r="B93" s="2">
        <v>70.900000000000006</v>
      </c>
    </row>
    <row r="94" spans="1:2" x14ac:dyDescent="0.35">
      <c r="A94" s="1">
        <v>3.2</v>
      </c>
      <c r="B94" s="1">
        <v>76.7</v>
      </c>
    </row>
    <row r="95" spans="1:2" x14ac:dyDescent="0.35">
      <c r="A95" s="2">
        <v>1.9</v>
      </c>
      <c r="B95" s="2">
        <v>70.900000000000006</v>
      </c>
    </row>
    <row r="96" spans="1:2" x14ac:dyDescent="0.35">
      <c r="A96" s="1">
        <v>2.7</v>
      </c>
      <c r="B96" s="1">
        <v>75.8</v>
      </c>
    </row>
    <row r="97" spans="1:2" x14ac:dyDescent="0.35">
      <c r="A97" s="2">
        <v>3.9</v>
      </c>
      <c r="B97" s="2">
        <v>75</v>
      </c>
    </row>
    <row r="98" spans="1:2" x14ac:dyDescent="0.35">
      <c r="A98" s="1">
        <v>0.2</v>
      </c>
      <c r="B98" s="1">
        <v>77.599999999999994</v>
      </c>
    </row>
    <row r="99" spans="1:2" x14ac:dyDescent="0.35">
      <c r="A99" s="2">
        <v>5.7</v>
      </c>
      <c r="B99" s="2">
        <v>76.400000000000006</v>
      </c>
    </row>
    <row r="100" spans="1:2" x14ac:dyDescent="0.35">
      <c r="A100" s="1">
        <v>1.2</v>
      </c>
      <c r="B100" s="1">
        <v>65.599999999999994</v>
      </c>
    </row>
    <row r="101" spans="1:2" x14ac:dyDescent="0.35">
      <c r="A101" s="2">
        <v>4.9000000000000004</v>
      </c>
      <c r="B101" s="2">
        <v>74.599999999999994</v>
      </c>
    </row>
    <row r="102" spans="1:2" x14ac:dyDescent="0.35">
      <c r="A102" s="1">
        <v>3.7</v>
      </c>
      <c r="B102" s="1">
        <v>76.5</v>
      </c>
    </row>
    <row r="103" spans="1:2" x14ac:dyDescent="0.35">
      <c r="A103" s="2">
        <v>4.4000000000000004</v>
      </c>
      <c r="B103" s="2">
        <v>57.1</v>
      </c>
    </row>
    <row r="104" spans="1:2" x14ac:dyDescent="0.35">
      <c r="A104" s="1">
        <v>3.3</v>
      </c>
      <c r="B104" s="1">
        <v>67.3</v>
      </c>
    </row>
    <row r="105" spans="1:2" x14ac:dyDescent="0.35">
      <c r="A105" s="2">
        <v>4.3</v>
      </c>
      <c r="B105" s="2">
        <v>76.099999999999994</v>
      </c>
    </row>
    <row r="106" spans="1:2" x14ac:dyDescent="0.35">
      <c r="A106" s="1">
        <v>3.3</v>
      </c>
      <c r="B106" s="1">
        <v>87.1</v>
      </c>
    </row>
    <row r="107" spans="1:2" x14ac:dyDescent="0.35">
      <c r="A107" s="2">
        <v>3.2</v>
      </c>
      <c r="B107" s="2">
        <v>78.2</v>
      </c>
    </row>
    <row r="108" spans="1:2" x14ac:dyDescent="0.35">
      <c r="A108" s="1">
        <v>2.7</v>
      </c>
      <c r="B108" s="1">
        <v>87.7</v>
      </c>
    </row>
    <row r="109" spans="1:2" x14ac:dyDescent="0.35">
      <c r="A109" s="2">
        <v>4</v>
      </c>
      <c r="B109" s="2">
        <v>66</v>
      </c>
    </row>
    <row r="110" spans="1:2" x14ac:dyDescent="0.35">
      <c r="A110" s="1">
        <v>4.5999999999999996</v>
      </c>
      <c r="B110" s="1">
        <v>72.5</v>
      </c>
    </row>
    <row r="111" spans="1:2" x14ac:dyDescent="0.35">
      <c r="A111" s="2">
        <v>4.3</v>
      </c>
      <c r="B111" s="2">
        <v>78.099999999999994</v>
      </c>
    </row>
    <row r="112" spans="1:2" x14ac:dyDescent="0.35">
      <c r="A112" s="1">
        <v>2.7</v>
      </c>
      <c r="B112" s="1">
        <v>46.7</v>
      </c>
    </row>
    <row r="113" spans="1:2" x14ac:dyDescent="0.35">
      <c r="A113" s="2">
        <v>3.6</v>
      </c>
      <c r="B113" s="2">
        <v>70.900000000000006</v>
      </c>
    </row>
    <row r="114" spans="1:2" x14ac:dyDescent="0.35">
      <c r="A114" s="1">
        <v>2.5</v>
      </c>
      <c r="B114" s="1">
        <v>51.4</v>
      </c>
    </row>
    <row r="115" spans="1:2" x14ac:dyDescent="0.35">
      <c r="A115" s="2">
        <v>3.3</v>
      </c>
      <c r="B115" s="2">
        <v>80</v>
      </c>
    </row>
    <row r="116" spans="1:2" x14ac:dyDescent="0.35">
      <c r="A116" s="1">
        <v>2.2000000000000002</v>
      </c>
      <c r="B116" s="1">
        <v>76.900000000000006</v>
      </c>
    </row>
    <row r="117" spans="1:2" x14ac:dyDescent="0.35">
      <c r="A117" s="2">
        <v>6.4</v>
      </c>
      <c r="B117" s="2">
        <v>46.6</v>
      </c>
    </row>
    <row r="118" spans="1:2" x14ac:dyDescent="0.35">
      <c r="A118" s="1">
        <v>4</v>
      </c>
      <c r="B118" s="1">
        <v>47.1</v>
      </c>
    </row>
    <row r="119" spans="1:2" x14ac:dyDescent="0.35">
      <c r="A119" s="2">
        <v>2.7</v>
      </c>
      <c r="B119" s="2">
        <v>70.900000000000006</v>
      </c>
    </row>
    <row r="120" spans="1:2" x14ac:dyDescent="0.35">
      <c r="A120" s="1">
        <v>2</v>
      </c>
      <c r="B120" s="1">
        <v>82.1</v>
      </c>
    </row>
    <row r="121" spans="1:2" x14ac:dyDescent="0.35">
      <c r="A121" s="2">
        <v>2.8</v>
      </c>
      <c r="B121" s="2">
        <v>61.2</v>
      </c>
    </row>
    <row r="122" spans="1:2" x14ac:dyDescent="0.35">
      <c r="A122" s="1">
        <v>3.3</v>
      </c>
      <c r="B122" s="1">
        <v>61.2</v>
      </c>
    </row>
    <row r="123" spans="1:2" x14ac:dyDescent="0.35">
      <c r="A123" s="2">
        <v>3.9</v>
      </c>
      <c r="B123" s="2">
        <v>75.099999999999994</v>
      </c>
    </row>
    <row r="124" spans="1:2" x14ac:dyDescent="0.35">
      <c r="A124" s="1">
        <v>3</v>
      </c>
      <c r="B124" s="1">
        <v>69.900000000000006</v>
      </c>
    </row>
    <row r="125" spans="1:2" x14ac:dyDescent="0.35">
      <c r="A125" s="2">
        <v>1.6</v>
      </c>
      <c r="B125" s="2">
        <v>80.5</v>
      </c>
    </row>
    <row r="126" spans="1:2" x14ac:dyDescent="0.35">
      <c r="A126" s="1">
        <v>1.7</v>
      </c>
      <c r="B126" s="1">
        <v>74.8</v>
      </c>
    </row>
    <row r="127" spans="1:2" x14ac:dyDescent="0.35">
      <c r="A127" s="2">
        <v>5</v>
      </c>
      <c r="B127" s="2">
        <v>85.8</v>
      </c>
    </row>
    <row r="128" spans="1:2" x14ac:dyDescent="0.35">
      <c r="A128" s="1">
        <v>3.8</v>
      </c>
      <c r="B128" s="1">
        <v>79.7</v>
      </c>
    </row>
    <row r="129" spans="1:2" x14ac:dyDescent="0.35">
      <c r="A129" s="2">
        <v>5</v>
      </c>
      <c r="B129" s="2">
        <v>77.2</v>
      </c>
    </row>
    <row r="130" spans="1:2" x14ac:dyDescent="0.35">
      <c r="A130" s="1">
        <v>5.2</v>
      </c>
      <c r="B130" s="1">
        <v>66.5</v>
      </c>
    </row>
    <row r="131" spans="1:2" x14ac:dyDescent="0.35">
      <c r="A131" s="2">
        <v>4.2</v>
      </c>
      <c r="B131" s="2">
        <v>65.7</v>
      </c>
    </row>
    <row r="132" spans="1:2" x14ac:dyDescent="0.35">
      <c r="A132" s="1">
        <v>2.2000000000000002</v>
      </c>
      <c r="B132" s="1">
        <v>69.5</v>
      </c>
    </row>
    <row r="133" spans="1:2" x14ac:dyDescent="0.35">
      <c r="A133" s="2">
        <v>4.3</v>
      </c>
      <c r="B133" s="2">
        <v>88.4</v>
      </c>
    </row>
    <row r="134" spans="1:2" x14ac:dyDescent="0.35">
      <c r="A134" s="1">
        <v>6.1</v>
      </c>
      <c r="B134" s="1">
        <v>65.900000000000006</v>
      </c>
    </row>
    <row r="135" spans="1:2" x14ac:dyDescent="0.35">
      <c r="A135" s="2">
        <v>3.3</v>
      </c>
      <c r="B135" s="2">
        <v>72.599999999999994</v>
      </c>
    </row>
    <row r="136" spans="1:2" x14ac:dyDescent="0.35">
      <c r="A136" s="1">
        <v>4.5</v>
      </c>
      <c r="B136" s="1">
        <v>47.6</v>
      </c>
    </row>
    <row r="137" spans="1:2" x14ac:dyDescent="0.35">
      <c r="A137" s="2">
        <v>4</v>
      </c>
      <c r="B137" s="2">
        <v>76.8</v>
      </c>
    </row>
    <row r="138" spans="1:2" x14ac:dyDescent="0.35">
      <c r="A138" s="1">
        <v>6.1</v>
      </c>
      <c r="B138" s="1">
        <v>92.6</v>
      </c>
    </row>
    <row r="139" spans="1:2" x14ac:dyDescent="0.35">
      <c r="A139" s="2">
        <v>3</v>
      </c>
      <c r="B139" s="2">
        <v>60.7</v>
      </c>
    </row>
    <row r="140" spans="1:2" x14ac:dyDescent="0.35">
      <c r="A140" s="1">
        <v>5.7</v>
      </c>
      <c r="B140" s="1">
        <v>100</v>
      </c>
    </row>
    <row r="141" spans="1:2" x14ac:dyDescent="0.35">
      <c r="A141" s="2">
        <v>3.4</v>
      </c>
      <c r="B141" s="2">
        <v>71.8</v>
      </c>
    </row>
    <row r="142" spans="1:2" x14ac:dyDescent="0.35">
      <c r="A142" s="1">
        <v>3</v>
      </c>
      <c r="B142" s="1">
        <v>44.3</v>
      </c>
    </row>
    <row r="143" spans="1:2" x14ac:dyDescent="0.35">
      <c r="A143" s="2">
        <v>4.2</v>
      </c>
      <c r="B143" s="2">
        <v>66.099999999999994</v>
      </c>
    </row>
    <row r="144" spans="1:2" x14ac:dyDescent="0.35">
      <c r="A144" s="1">
        <v>4.5</v>
      </c>
      <c r="B144" s="1">
        <v>83.3</v>
      </c>
    </row>
    <row r="145" spans="1:2" x14ac:dyDescent="0.35">
      <c r="A145" s="2">
        <v>6.9</v>
      </c>
      <c r="B145" s="2">
        <v>90</v>
      </c>
    </row>
    <row r="146" spans="1:2" x14ac:dyDescent="0.35">
      <c r="A146" s="1">
        <v>4.5</v>
      </c>
      <c r="B146" s="1">
        <v>77.2</v>
      </c>
    </row>
    <row r="147" spans="1:2" x14ac:dyDescent="0.35">
      <c r="A147" s="2">
        <v>4.3</v>
      </c>
      <c r="B147" s="2">
        <v>85.7</v>
      </c>
    </row>
    <row r="148" spans="1:2" x14ac:dyDescent="0.35">
      <c r="A148" s="1">
        <v>6.4</v>
      </c>
      <c r="B148" s="1">
        <v>58.2</v>
      </c>
    </row>
    <row r="149" spans="1:2" x14ac:dyDescent="0.35">
      <c r="A149" s="2">
        <v>4.9000000000000004</v>
      </c>
      <c r="B149" s="2">
        <v>63.2</v>
      </c>
    </row>
    <row r="150" spans="1:2" x14ac:dyDescent="0.35">
      <c r="A150" s="1">
        <v>3</v>
      </c>
      <c r="B150" s="1">
        <v>53.2</v>
      </c>
    </row>
    <row r="151" spans="1:2" x14ac:dyDescent="0.35">
      <c r="A151" s="2">
        <v>6</v>
      </c>
      <c r="B151" s="2">
        <v>63.9</v>
      </c>
    </row>
    <row r="152" spans="1:2" x14ac:dyDescent="0.35">
      <c r="A152" s="1">
        <v>2.9</v>
      </c>
      <c r="B152" s="1">
        <v>77.599999999999994</v>
      </c>
    </row>
    <row r="153" spans="1:2" x14ac:dyDescent="0.35">
      <c r="A153" s="2">
        <v>3</v>
      </c>
      <c r="B153" s="2">
        <v>72.099999999999994</v>
      </c>
    </row>
    <row r="154" spans="1:2" x14ac:dyDescent="0.35">
      <c r="A154" s="1">
        <v>2.7</v>
      </c>
      <c r="B154" s="1">
        <v>78.7</v>
      </c>
    </row>
    <row r="155" spans="1:2" x14ac:dyDescent="0.35">
      <c r="A155" s="2">
        <v>2.6</v>
      </c>
      <c r="B155" s="2">
        <v>60.6</v>
      </c>
    </row>
    <row r="156" spans="1:2" x14ac:dyDescent="0.35">
      <c r="A156" s="1">
        <v>4.5</v>
      </c>
      <c r="B156" s="1">
        <v>61.2</v>
      </c>
    </row>
    <row r="157" spans="1:2" x14ac:dyDescent="0.35">
      <c r="A157" s="2">
        <v>3.6</v>
      </c>
      <c r="B157" s="2">
        <v>72</v>
      </c>
    </row>
    <row r="158" spans="1:2" x14ac:dyDescent="0.35">
      <c r="A158" s="1">
        <v>0</v>
      </c>
      <c r="B158" s="1">
        <v>64</v>
      </c>
    </row>
    <row r="159" spans="1:2" x14ac:dyDescent="0.35">
      <c r="A159" s="2">
        <v>3.6</v>
      </c>
      <c r="B159" s="2">
        <v>83</v>
      </c>
    </row>
    <row r="160" spans="1:2" x14ac:dyDescent="0.35">
      <c r="A160" s="1">
        <v>3.2</v>
      </c>
      <c r="B160" s="1">
        <v>63.7</v>
      </c>
    </row>
    <row r="161" spans="1:2" x14ac:dyDescent="0.35">
      <c r="A161" s="2">
        <v>5.3</v>
      </c>
      <c r="B161" s="2">
        <v>65</v>
      </c>
    </row>
    <row r="162" spans="1:2" x14ac:dyDescent="0.35">
      <c r="A162" s="1">
        <v>3.2</v>
      </c>
      <c r="B162" s="1">
        <v>74.2</v>
      </c>
    </row>
    <row r="163" spans="1:2" x14ac:dyDescent="0.35">
      <c r="A163" s="2">
        <v>7.8</v>
      </c>
      <c r="B163" s="2">
        <v>66.099999999999994</v>
      </c>
    </row>
    <row r="164" spans="1:2" x14ac:dyDescent="0.35">
      <c r="A164" s="1">
        <v>6.1</v>
      </c>
      <c r="B164" s="1">
        <v>57.7</v>
      </c>
    </row>
    <row r="165" spans="1:2" x14ac:dyDescent="0.35">
      <c r="A165" s="2">
        <v>3.4</v>
      </c>
      <c r="B165" s="2">
        <v>59</v>
      </c>
    </row>
    <row r="166" spans="1:2" x14ac:dyDescent="0.35">
      <c r="A166" s="1">
        <v>5.7</v>
      </c>
      <c r="B166" s="1">
        <v>75.400000000000006</v>
      </c>
    </row>
    <row r="167" spans="1:2" x14ac:dyDescent="0.35">
      <c r="A167" s="2">
        <v>4</v>
      </c>
      <c r="B167" s="2">
        <v>56.4</v>
      </c>
    </row>
    <row r="168" spans="1:2" x14ac:dyDescent="0.35">
      <c r="A168" s="1">
        <v>4.4000000000000004</v>
      </c>
      <c r="B168" s="1">
        <v>84</v>
      </c>
    </row>
    <row r="169" spans="1:2" x14ac:dyDescent="0.35">
      <c r="A169" s="2">
        <v>5.2</v>
      </c>
      <c r="B169" s="2">
        <v>63.1</v>
      </c>
    </row>
    <row r="170" spans="1:2" x14ac:dyDescent="0.35">
      <c r="A170" s="1">
        <v>4.0999999999999996</v>
      </c>
      <c r="B170" s="1">
        <v>76.2</v>
      </c>
    </row>
    <row r="171" spans="1:2" x14ac:dyDescent="0.35">
      <c r="A171" s="2">
        <v>4.4000000000000004</v>
      </c>
      <c r="B171" s="2">
        <v>63.7</v>
      </c>
    </row>
    <row r="172" spans="1:2" x14ac:dyDescent="0.35">
      <c r="A172" s="1">
        <v>5.2</v>
      </c>
      <c r="B172" s="1">
        <v>60.8</v>
      </c>
    </row>
    <row r="173" spans="1:2" x14ac:dyDescent="0.35">
      <c r="A173" s="2">
        <v>7.1</v>
      </c>
      <c r="B173" s="2">
        <v>72.5</v>
      </c>
    </row>
    <row r="174" spans="1:2" x14ac:dyDescent="0.35">
      <c r="A174" s="1">
        <v>4.4000000000000004</v>
      </c>
      <c r="B174" s="1">
        <v>80.5</v>
      </c>
    </row>
    <row r="175" spans="1:2" x14ac:dyDescent="0.35">
      <c r="A175" s="2">
        <v>3.3</v>
      </c>
      <c r="B175" s="2">
        <v>67.5</v>
      </c>
    </row>
    <row r="176" spans="1:2" x14ac:dyDescent="0.35">
      <c r="A176" s="1">
        <v>1</v>
      </c>
      <c r="B176" s="1">
        <v>69.3</v>
      </c>
    </row>
    <row r="177" spans="1:2" x14ac:dyDescent="0.35">
      <c r="A177" s="2">
        <v>6.9</v>
      </c>
      <c r="B177" s="2">
        <v>78.099999999999994</v>
      </c>
    </row>
    <row r="178" spans="1:2" x14ac:dyDescent="0.35">
      <c r="A178" s="1">
        <v>3.6</v>
      </c>
      <c r="B178" s="1">
        <v>78.400000000000006</v>
      </c>
    </row>
    <row r="179" spans="1:2" x14ac:dyDescent="0.35">
      <c r="A179" s="2">
        <v>4.8</v>
      </c>
      <c r="B179" s="2">
        <v>69.599999999999994</v>
      </c>
    </row>
    <row r="180" spans="1:2" x14ac:dyDescent="0.35">
      <c r="A180" s="1">
        <v>6.9</v>
      </c>
      <c r="B180" s="1">
        <v>65.599999999999994</v>
      </c>
    </row>
    <row r="181" spans="1:2" x14ac:dyDescent="0.35">
      <c r="A181" s="2">
        <v>4.3</v>
      </c>
      <c r="B181" s="2">
        <v>70.8</v>
      </c>
    </row>
    <row r="182" spans="1:2" x14ac:dyDescent="0.35">
      <c r="A182" s="1">
        <v>3.7</v>
      </c>
      <c r="B182" s="1">
        <v>68.099999999999994</v>
      </c>
    </row>
    <row r="183" spans="1:2" x14ac:dyDescent="0.35">
      <c r="A183" s="2">
        <v>6.1</v>
      </c>
      <c r="B183" s="2">
        <v>73.099999999999994</v>
      </c>
    </row>
    <row r="184" spans="1:2" x14ac:dyDescent="0.35">
      <c r="A184" s="1">
        <v>4.7</v>
      </c>
      <c r="B184" s="1">
        <v>58.1</v>
      </c>
    </row>
    <row r="185" spans="1:2" x14ac:dyDescent="0.35">
      <c r="A185" s="2">
        <v>4.9000000000000004</v>
      </c>
      <c r="B185" s="2">
        <v>72.8</v>
      </c>
    </row>
    <row r="186" spans="1:2" x14ac:dyDescent="0.35">
      <c r="A186" s="1">
        <v>1.7</v>
      </c>
      <c r="B186" s="1">
        <v>62.8</v>
      </c>
    </row>
    <row r="187" spans="1:2" x14ac:dyDescent="0.35">
      <c r="A187" s="2">
        <v>5.8</v>
      </c>
      <c r="B187" s="2">
        <v>79.099999999999994</v>
      </c>
    </row>
    <row r="188" spans="1:2" x14ac:dyDescent="0.35">
      <c r="A188" s="1">
        <v>4.5999999999999996</v>
      </c>
      <c r="B188" s="1">
        <v>63.3</v>
      </c>
    </row>
    <row r="189" spans="1:2" x14ac:dyDescent="0.35">
      <c r="A189" s="2">
        <v>1.9</v>
      </c>
      <c r="B189" s="2">
        <v>63.4</v>
      </c>
    </row>
    <row r="190" spans="1:2" x14ac:dyDescent="0.35">
      <c r="A190" s="1">
        <v>4.7</v>
      </c>
      <c r="B190" s="1">
        <v>74.5</v>
      </c>
    </row>
    <row r="191" spans="1:2" x14ac:dyDescent="0.35">
      <c r="A191" s="2">
        <v>0.9</v>
      </c>
      <c r="B191" s="2">
        <v>70.099999999999994</v>
      </c>
    </row>
    <row r="192" spans="1:2" x14ac:dyDescent="0.35">
      <c r="A192" s="1">
        <v>7.5</v>
      </c>
      <c r="B192" s="1">
        <v>92.8</v>
      </c>
    </row>
    <row r="193" spans="1:2" x14ac:dyDescent="0.35">
      <c r="A193" s="2">
        <v>2.2999999999999998</v>
      </c>
      <c r="B193" s="2">
        <v>70.900000000000006</v>
      </c>
    </row>
    <row r="194" spans="1:2" x14ac:dyDescent="0.35">
      <c r="A194" s="1">
        <v>6.4</v>
      </c>
      <c r="B194" s="1">
        <v>71.099999999999994</v>
      </c>
    </row>
    <row r="195" spans="1:2" x14ac:dyDescent="0.35">
      <c r="A195" s="2">
        <v>2.8</v>
      </c>
      <c r="B195" s="2">
        <v>81.3</v>
      </c>
    </row>
    <row r="196" spans="1:2" x14ac:dyDescent="0.35">
      <c r="A196" s="1">
        <v>4.8</v>
      </c>
      <c r="B196" s="1">
        <v>64.2</v>
      </c>
    </row>
    <row r="197" spans="1:2" x14ac:dyDescent="0.35">
      <c r="A197" s="2">
        <v>2.6</v>
      </c>
      <c r="B197" s="2">
        <v>60.9</v>
      </c>
    </row>
    <row r="198" spans="1:2" x14ac:dyDescent="0.35">
      <c r="A198" s="1">
        <v>5.5</v>
      </c>
      <c r="B198" s="1">
        <v>61.3</v>
      </c>
    </row>
    <row r="199" spans="1:2" x14ac:dyDescent="0.35">
      <c r="A199" s="2">
        <v>3.6</v>
      </c>
      <c r="B199" s="2">
        <v>53.9</v>
      </c>
    </row>
    <row r="200" spans="1:2" x14ac:dyDescent="0.35">
      <c r="A200" s="1">
        <v>4.7</v>
      </c>
      <c r="B200" s="1">
        <v>83.5</v>
      </c>
    </row>
    <row r="201" spans="1:2" x14ac:dyDescent="0.35">
      <c r="A201" s="2">
        <v>4</v>
      </c>
      <c r="B201" s="2">
        <v>66.7</v>
      </c>
    </row>
    <row r="202" spans="1:2" x14ac:dyDescent="0.35">
      <c r="A202" s="1">
        <v>2</v>
      </c>
      <c r="B202" s="1">
        <v>65.5</v>
      </c>
    </row>
    <row r="203" spans="1:2" x14ac:dyDescent="0.35">
      <c r="A203" s="2">
        <v>4.8</v>
      </c>
      <c r="B203" s="2">
        <v>48.8</v>
      </c>
    </row>
    <row r="204" spans="1:2" x14ac:dyDescent="0.35">
      <c r="A204" s="1">
        <v>3.2</v>
      </c>
      <c r="B204" s="1">
        <v>55.7</v>
      </c>
    </row>
    <row r="205" spans="1:2" x14ac:dyDescent="0.35">
      <c r="A205" s="2">
        <v>5.6</v>
      </c>
      <c r="B205" s="2">
        <v>84.7</v>
      </c>
    </row>
    <row r="206" spans="1:2" x14ac:dyDescent="0.35">
      <c r="A206" s="1">
        <v>3.6</v>
      </c>
      <c r="B206" s="1">
        <v>73</v>
      </c>
    </row>
    <row r="207" spans="1:2" x14ac:dyDescent="0.35">
      <c r="A207" s="2">
        <v>3.9</v>
      </c>
      <c r="B207" s="2">
        <v>81.7</v>
      </c>
    </row>
    <row r="208" spans="1:2" x14ac:dyDescent="0.35">
      <c r="A208" s="1">
        <v>6.5</v>
      </c>
      <c r="B208" s="1">
        <v>80.400000000000006</v>
      </c>
    </row>
    <row r="209" spans="1:2" x14ac:dyDescent="0.35">
      <c r="A209" s="2">
        <v>7.6</v>
      </c>
      <c r="B209" s="2">
        <v>60</v>
      </c>
    </row>
    <row r="210" spans="1:2" x14ac:dyDescent="0.35">
      <c r="A210" s="1">
        <v>5.2</v>
      </c>
      <c r="B210" s="1">
        <v>94.3</v>
      </c>
    </row>
    <row r="211" spans="1:2" x14ac:dyDescent="0.35">
      <c r="A211" s="2">
        <v>3.6</v>
      </c>
      <c r="B211" s="2">
        <v>89.5</v>
      </c>
    </row>
    <row r="212" spans="1:2" x14ac:dyDescent="0.35">
      <c r="A212" s="1">
        <v>3.4</v>
      </c>
      <c r="B212" s="1">
        <v>64.400000000000006</v>
      </c>
    </row>
    <row r="213" spans="1:2" x14ac:dyDescent="0.35">
      <c r="A213" s="2">
        <v>2.8</v>
      </c>
      <c r="B213" s="2">
        <v>34.299999999999997</v>
      </c>
    </row>
    <row r="214" spans="1:2" x14ac:dyDescent="0.35">
      <c r="A214" s="1">
        <v>3.1</v>
      </c>
      <c r="B214" s="1">
        <v>66.400000000000006</v>
      </c>
    </row>
    <row r="215" spans="1:2" x14ac:dyDescent="0.35">
      <c r="A215" s="2">
        <v>3.6</v>
      </c>
      <c r="B215" s="2">
        <v>72.400000000000006</v>
      </c>
    </row>
    <row r="216" spans="1:2" x14ac:dyDescent="0.35">
      <c r="A216" s="1">
        <v>6.9</v>
      </c>
      <c r="B216" s="1">
        <v>64.3</v>
      </c>
    </row>
    <row r="217" spans="1:2" x14ac:dyDescent="0.35">
      <c r="A217" s="2">
        <v>3.7</v>
      </c>
      <c r="B217" s="2">
        <v>67.8</v>
      </c>
    </row>
    <row r="218" spans="1:2" x14ac:dyDescent="0.35">
      <c r="A218" s="1">
        <v>2.2000000000000002</v>
      </c>
      <c r="B218" s="1">
        <v>61.7</v>
      </c>
    </row>
    <row r="219" spans="1:2" x14ac:dyDescent="0.35">
      <c r="A219" s="2">
        <v>4.0999999999999996</v>
      </c>
      <c r="B219" s="2">
        <v>79.2</v>
      </c>
    </row>
    <row r="220" spans="1:2" x14ac:dyDescent="0.35">
      <c r="A220" s="1">
        <v>4.3</v>
      </c>
      <c r="B220" s="1">
        <v>70.599999999999994</v>
      </c>
    </row>
    <row r="221" spans="1:2" x14ac:dyDescent="0.35">
      <c r="A221" s="2">
        <v>4.0999999999999996</v>
      </c>
      <c r="B221" s="2">
        <v>79.5</v>
      </c>
    </row>
    <row r="222" spans="1:2" x14ac:dyDescent="0.35">
      <c r="A222" s="1">
        <v>5.2</v>
      </c>
      <c r="B222" s="1">
        <v>82.2</v>
      </c>
    </row>
    <row r="223" spans="1:2" x14ac:dyDescent="0.35">
      <c r="A223" s="2">
        <v>4.0999999999999996</v>
      </c>
      <c r="B223" s="2">
        <v>48.3</v>
      </c>
    </row>
    <row r="224" spans="1:2" x14ac:dyDescent="0.35">
      <c r="A224" s="1">
        <v>5.2</v>
      </c>
      <c r="B224" s="1">
        <v>62.3</v>
      </c>
    </row>
    <row r="225" spans="1:2" x14ac:dyDescent="0.35">
      <c r="A225" s="2">
        <v>2.8</v>
      </c>
      <c r="B225" s="2">
        <v>63.8</v>
      </c>
    </row>
    <row r="226" spans="1:2" x14ac:dyDescent="0.35">
      <c r="A226" s="1">
        <v>4</v>
      </c>
      <c r="B226" s="1">
        <v>95.7</v>
      </c>
    </row>
    <row r="227" spans="1:2" x14ac:dyDescent="0.35">
      <c r="A227" s="2">
        <v>4.4000000000000004</v>
      </c>
      <c r="B227" s="2">
        <v>71.5</v>
      </c>
    </row>
    <row r="228" spans="1:2" x14ac:dyDescent="0.35">
      <c r="A228" s="1">
        <v>4.5999999999999996</v>
      </c>
      <c r="B228" s="1">
        <v>70.900000000000006</v>
      </c>
    </row>
    <row r="229" spans="1:2" x14ac:dyDescent="0.35">
      <c r="A229" s="2">
        <v>2.8</v>
      </c>
      <c r="B229" s="2">
        <v>51.2</v>
      </c>
    </row>
    <row r="230" spans="1:2" x14ac:dyDescent="0.35">
      <c r="A230" s="1">
        <v>4.7</v>
      </c>
      <c r="B230" s="1">
        <v>71.400000000000006</v>
      </c>
    </row>
    <row r="231" spans="1:2" x14ac:dyDescent="0.35">
      <c r="A231" s="2">
        <v>5</v>
      </c>
      <c r="B231" s="2">
        <v>79.8</v>
      </c>
    </row>
    <row r="232" spans="1:2" x14ac:dyDescent="0.35">
      <c r="A232" s="1">
        <v>2.2000000000000002</v>
      </c>
      <c r="B232" s="1">
        <v>78.599999999999994</v>
      </c>
    </row>
    <row r="233" spans="1:2" x14ac:dyDescent="0.35">
      <c r="A233" s="2">
        <v>1.5</v>
      </c>
      <c r="B233" s="2">
        <v>76.2</v>
      </c>
    </row>
    <row r="234" spans="1:2" x14ac:dyDescent="0.35">
      <c r="A234" s="1">
        <v>4.4000000000000004</v>
      </c>
      <c r="B234" s="1">
        <v>70.099999999999994</v>
      </c>
    </row>
    <row r="235" spans="1:2" x14ac:dyDescent="0.35">
      <c r="A235" s="2">
        <v>3.3</v>
      </c>
      <c r="B235" s="2">
        <v>70.599999999999994</v>
      </c>
    </row>
    <row r="236" spans="1:2" x14ac:dyDescent="0.35">
      <c r="A236" s="1">
        <v>4.4000000000000004</v>
      </c>
      <c r="B236" s="1">
        <v>53.1</v>
      </c>
    </row>
    <row r="237" spans="1:2" x14ac:dyDescent="0.35">
      <c r="A237" s="2">
        <v>2.1</v>
      </c>
      <c r="B237" s="2">
        <v>61</v>
      </c>
    </row>
    <row r="238" spans="1:2" x14ac:dyDescent="0.35">
      <c r="A238" s="1">
        <v>1.7</v>
      </c>
      <c r="B238" s="1">
        <v>72.3</v>
      </c>
    </row>
    <row r="239" spans="1:2" x14ac:dyDescent="0.35">
      <c r="A239" s="2">
        <v>4.3</v>
      </c>
      <c r="B239" s="2">
        <v>62.8</v>
      </c>
    </row>
    <row r="240" spans="1:2" x14ac:dyDescent="0.35">
      <c r="A240" s="1">
        <v>3.5</v>
      </c>
      <c r="B240" s="1">
        <v>76.900000000000006</v>
      </c>
    </row>
    <row r="241" spans="1:2" x14ac:dyDescent="0.35">
      <c r="A241" s="2">
        <v>4</v>
      </c>
      <c r="B241" s="2">
        <v>74.7</v>
      </c>
    </row>
    <row r="242" spans="1:2" x14ac:dyDescent="0.35">
      <c r="A242" s="1">
        <v>6</v>
      </c>
      <c r="B242" s="1">
        <v>83.7</v>
      </c>
    </row>
    <row r="243" spans="1:2" x14ac:dyDescent="0.35">
      <c r="A243" s="2">
        <v>2</v>
      </c>
      <c r="B243" s="2">
        <v>79.599999999999994</v>
      </c>
    </row>
    <row r="244" spans="1:2" x14ac:dyDescent="0.35">
      <c r="A244" s="1">
        <v>7.9</v>
      </c>
      <c r="B244" s="1">
        <v>72.3</v>
      </c>
    </row>
    <row r="245" spans="1:2" x14ac:dyDescent="0.35">
      <c r="A245" s="2">
        <v>3.1</v>
      </c>
      <c r="B245" s="2">
        <v>77.5</v>
      </c>
    </row>
    <row r="246" spans="1:2" x14ac:dyDescent="0.35">
      <c r="A246" s="1">
        <v>4.5999999999999996</v>
      </c>
      <c r="B246" s="1">
        <v>80.099999999999994</v>
      </c>
    </row>
    <row r="247" spans="1:2" x14ac:dyDescent="0.35">
      <c r="A247" s="2">
        <v>6.5</v>
      </c>
      <c r="B247" s="2">
        <v>64.900000000000006</v>
      </c>
    </row>
    <row r="248" spans="1:2" x14ac:dyDescent="0.35">
      <c r="A248" s="1">
        <v>6.2</v>
      </c>
      <c r="B248" s="1">
        <v>66.7</v>
      </c>
    </row>
    <row r="249" spans="1:2" x14ac:dyDescent="0.35">
      <c r="A249" s="2">
        <v>7</v>
      </c>
      <c r="B249" s="2">
        <v>69</v>
      </c>
    </row>
    <row r="250" spans="1:2" x14ac:dyDescent="0.35">
      <c r="A250" s="1">
        <v>1.7</v>
      </c>
      <c r="B250" s="1">
        <v>65.2</v>
      </c>
    </row>
    <row r="251" spans="1:2" x14ac:dyDescent="0.35">
      <c r="A251" s="2">
        <v>2.2999999999999998</v>
      </c>
      <c r="B251" s="2">
        <v>80.2</v>
      </c>
    </row>
    <row r="252" spans="1:2" x14ac:dyDescent="0.35">
      <c r="A252" s="1">
        <v>4.3</v>
      </c>
      <c r="B252" s="1">
        <v>63.7</v>
      </c>
    </row>
    <row r="253" spans="1:2" x14ac:dyDescent="0.35">
      <c r="A253" s="2">
        <v>5.3</v>
      </c>
      <c r="B253" s="2">
        <v>82.5</v>
      </c>
    </row>
    <row r="254" spans="1:2" x14ac:dyDescent="0.35">
      <c r="A254" s="1">
        <v>4</v>
      </c>
      <c r="B254" s="1">
        <v>66.3</v>
      </c>
    </row>
    <row r="255" spans="1:2" x14ac:dyDescent="0.35">
      <c r="A255" s="2">
        <v>1.5</v>
      </c>
      <c r="B255" s="2">
        <v>74.7</v>
      </c>
    </row>
    <row r="258" spans="1:2" x14ac:dyDescent="0.35">
      <c r="A258" s="3" t="s">
        <v>22</v>
      </c>
    </row>
    <row r="260" spans="1:2" x14ac:dyDescent="0.35">
      <c r="A260" s="5" t="s">
        <v>14</v>
      </c>
      <c r="B260" t="s">
        <v>15</v>
      </c>
    </row>
    <row r="261" spans="1:2" x14ac:dyDescent="0.35">
      <c r="A261" s="6" t="s">
        <v>9</v>
      </c>
      <c r="B261">
        <v>70.882608695652166</v>
      </c>
    </row>
    <row r="262" spans="1:2" x14ac:dyDescent="0.35">
      <c r="A262" s="6" t="s">
        <v>10</v>
      </c>
      <c r="B262">
        <v>68.935897435897431</v>
      </c>
    </row>
    <row r="263" spans="1:2" x14ac:dyDescent="0.35">
      <c r="A263" s="6" t="s">
        <v>11</v>
      </c>
      <c r="B263">
        <v>72.88181818181819</v>
      </c>
    </row>
    <row r="264" spans="1:2" x14ac:dyDescent="0.35">
      <c r="A264" s="6" t="s">
        <v>12</v>
      </c>
      <c r="B264">
        <v>71.081818181818193</v>
      </c>
    </row>
    <row r="265" spans="1:2" x14ac:dyDescent="0.35">
      <c r="A265" s="6" t="s">
        <v>13</v>
      </c>
      <c r="B265">
        <v>70.915000000000006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DACE-60CD-4AE9-AECD-9512DA13E808}">
  <dimension ref="A1"/>
  <sheetViews>
    <sheetView zoomScale="60" zoomScaleNormal="60" workbookViewId="0">
      <selection activeCell="V13" sqref="V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E393F1-406A-4BA0-A83F-1CA851DD46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Student analysis</vt:lpstr>
      <vt:lpstr>Pivot_table</vt:lpstr>
      <vt:lpstr>Dashboard</vt:lpstr>
      <vt:lpstr>Dashboard</vt:lpstr>
      <vt:lpstr>Final_Data</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Nithin Munirathnam</cp:lastModifiedBy>
  <dcterms:created xsi:type="dcterms:W3CDTF">2026-03-17T17:05:18Z</dcterms:created>
  <dcterms:modified xsi:type="dcterms:W3CDTF">2026-03-17T18:23:14Z</dcterms:modified>
</cp:coreProperties>
</file>