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NITHIN\Desktop\coding_challenge\"/>
    </mc:Choice>
  </mc:AlternateContent>
  <xr:revisionPtr revIDLastSave="0" documentId="13_ncr:1_{3BE4CDF7-9059-45AF-8423-9EA590B7B4EE}" xr6:coauthVersionLast="47" xr6:coauthVersionMax="47" xr10:uidLastSave="{00000000-0000-0000-0000-000000000000}"/>
  <bookViews>
    <workbookView xWindow="-110" yWindow="-110" windowWidth="19420" windowHeight="10300" activeTab="4" xr2:uid="{5813C366-046C-461D-8F58-BEF768449B75}"/>
  </bookViews>
  <sheets>
    <sheet name="Raw_Data" sheetId="1" r:id="rId1"/>
    <sheet name="Data &amp; Calculations" sheetId="2" r:id="rId2"/>
    <sheet name="Detailed Analysis" sheetId="3" r:id="rId3"/>
    <sheet name="Dashboard" sheetId="4" r:id="rId4"/>
    <sheet name="Recommendations" sheetId="5" r:id="rId5"/>
  </sheets>
  <definedNames>
    <definedName name="ExternalData_1" localSheetId="1" hidden="1">'Data &amp; Calculations'!$A$1:$I$151</definedName>
    <definedName name="Raw_data">Table1[]</definedName>
    <definedName name="Slicer_assigned_analyst">#N/A</definedName>
    <definedName name="Slicer_category">#N/A</definedName>
    <definedName name="Slicer_Day_Month">#N/A</definedName>
    <definedName name="Slicer_priorit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6" i="2" l="1"/>
  <c r="R3" i="2"/>
  <c r="R2"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5F097D-F58B-4A55-9B88-91D4EBF3113D}"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s>
</file>

<file path=xl/sharedStrings.xml><?xml version="1.0" encoding="utf-8"?>
<sst xmlns="http://schemas.openxmlformats.org/spreadsheetml/2006/main" count="1609" uniqueCount="390">
  <si>
    <t>ticket_id</t>
  </si>
  <si>
    <t>submission_date</t>
  </si>
  <si>
    <t>resolution_date</t>
  </si>
  <si>
    <t>category</t>
  </si>
  <si>
    <t>assigned_analyst</t>
  </si>
  <si>
    <t>description</t>
  </si>
  <si>
    <t>priority</t>
  </si>
  <si>
    <t>TICKET-1000</t>
  </si>
  <si>
    <t>Other</t>
  </si>
  <si>
    <t>Toni Wiley</t>
  </si>
  <si>
    <t>Dream part subject until full. Brother century suddenly above. Six eight benefit animal move best.</t>
  </si>
  <si>
    <t>High</t>
  </si>
  <si>
    <t>TICKET-1001</t>
  </si>
  <si>
    <t>Software</t>
  </si>
  <si>
    <t>Tanya Jones</t>
  </si>
  <si>
    <t>Application X is crashing every time I open it. Lead how phone also score player later blue.</t>
  </si>
  <si>
    <t>Medium</t>
  </si>
  <si>
    <t>TICKET-1002</t>
  </si>
  <si>
    <t>Sheila Ball</t>
  </si>
  <si>
    <t>Black attack cold would page. Reality she war a chance. Physical hour Mr item red agreement for.</t>
  </si>
  <si>
    <t>TICKET-1003</t>
  </si>
  <si>
    <t>Hardware</t>
  </si>
  <si>
    <t>Cynthia Rich</t>
  </si>
  <si>
    <t>My laptop's keyboard isn't working properly, some keys are stuck. Tree culture above effort more national whether.</t>
  </si>
  <si>
    <t>TICKET-1004</t>
  </si>
  <si>
    <t>Janice Burns</t>
  </si>
  <si>
    <t>Application X is crashing every time I open it. Order wrong fight foreign bad house pick.</t>
  </si>
  <si>
    <t>TICKET-1005</t>
  </si>
  <si>
    <t>Application X is crashing every time I open it. Sport should network realize relate very voice.</t>
  </si>
  <si>
    <t>Low</t>
  </si>
  <si>
    <t>TICKET-1006</t>
  </si>
  <si>
    <t>Access</t>
  </si>
  <si>
    <t>Autumn Ryan</t>
  </si>
  <si>
    <t>I'm locked out of my account and can't reset my password. If rather year suffer wrong.</t>
  </si>
  <si>
    <t>TICKET-1007</t>
  </si>
  <si>
    <t>Amanda White</t>
  </si>
  <si>
    <t>Application X is crashing every time I open it. Here bill leg region training. Grow new may.</t>
  </si>
  <si>
    <t>TICKET-1008</t>
  </si>
  <si>
    <t>My laptop's keyboard isn't working properly, some keys are stuck. Common maintain theory involve ok detail.</t>
  </si>
  <si>
    <t>TICKET-1009</t>
  </si>
  <si>
    <t>Application X is crashing every time I open it. Responsibility again recently traditional word.</t>
  </si>
  <si>
    <t>TICKET-1010</t>
  </si>
  <si>
    <t>Adam Stone</t>
  </si>
  <si>
    <t>Application X is crashing every time I open it. Structure this woman born.</t>
  </si>
  <si>
    <t>TICKET-1011</t>
  </si>
  <si>
    <t>Network</t>
  </si>
  <si>
    <t>Natasha Harris</t>
  </si>
  <si>
    <t>Can't connect to the Wi-Fi. It's showing 'No internet access'. Maintain without college strong few not week.</t>
  </si>
  <si>
    <t>TICKET-1012</t>
  </si>
  <si>
    <t>Can't connect to the Wi-Fi. It's showing 'No internet access'. Official human task door century energy Mr.</t>
  </si>
  <si>
    <t>TICKET-1013</t>
  </si>
  <si>
    <t>Application X is crashing every time I open it. Spring operation performance glass choice kind.</t>
  </si>
  <si>
    <t>TICKET-1014</t>
  </si>
  <si>
    <t>Application X is crashing every time I open it. Summer yard maintain fire ask eight.</t>
  </si>
  <si>
    <t>TICKET-1015</t>
  </si>
  <si>
    <t>Marvin West</t>
  </si>
  <si>
    <t>Application X is crashing every time I open it. Least check between event. Can brother two form.</t>
  </si>
  <si>
    <t>TICKET-1016</t>
  </si>
  <si>
    <t>Application X is crashing every time I open it. Resource in affect charge customer accept dream.</t>
  </si>
  <si>
    <t>TICKET-1017</t>
  </si>
  <si>
    <t>Security</t>
  </si>
  <si>
    <t>Thought national word picture each deep.</t>
  </si>
  <si>
    <t>TICKET-1018</t>
  </si>
  <si>
    <t>Can't connect to the Wi-Fi. It's showing 'No internet access'. Card series research else cup though artist.</t>
  </si>
  <si>
    <t>TICKET-1019</t>
  </si>
  <si>
    <t>My laptop's keyboard isn't working properly, some keys are stuck. Young up grow after offer east region would.</t>
  </si>
  <si>
    <t>TICKET-1020</t>
  </si>
  <si>
    <t>Application X is crashing every time I open it. Nice then management.</t>
  </si>
  <si>
    <t>TICKET-1021</t>
  </si>
  <si>
    <t>Application X is crashing every time I open it. Water act involve follow hot.</t>
  </si>
  <si>
    <t>TICKET-1022</t>
  </si>
  <si>
    <t>Application X is crashing every time I open it. Another such apply table let.</t>
  </si>
  <si>
    <t>TICKET-1023</t>
  </si>
  <si>
    <t>Application X is crashing every time I open it. Senior per draw day mention sea quickly.</t>
  </si>
  <si>
    <t>TICKET-1024</t>
  </si>
  <si>
    <t>Can't connect to the Wi-Fi. It's showing 'No internet access'. Race Republican expect east might collection.</t>
  </si>
  <si>
    <t>TICKET-1025</t>
  </si>
  <si>
    <t>Application X is crashing every time I open it. Total maintain service writer.</t>
  </si>
  <si>
    <t>TICKET-1026</t>
  </si>
  <si>
    <t>Can't connect to the Wi-Fi. It's showing 'No internet access'. Individual herself decide generation.</t>
  </si>
  <si>
    <t>TICKET-1027</t>
  </si>
  <si>
    <t>Billing</t>
  </si>
  <si>
    <t>Yourself floor foot character choose. Brother prepare but film key name.</t>
  </si>
  <si>
    <t>TICKET-1028</t>
  </si>
  <si>
    <t>Successful radio play network yet. Fill director direction ready white.</t>
  </si>
  <si>
    <t>TICKET-1029</t>
  </si>
  <si>
    <t>Application X is crashing every time I open it. Southern beat general first much hotel agency.</t>
  </si>
  <si>
    <t>TICKET-1030</t>
  </si>
  <si>
    <t>Can't connect to the Wi-Fi. It's showing 'No internet access'. Cup government by life reduce each customer.</t>
  </si>
  <si>
    <t>TICKET-1031</t>
  </si>
  <si>
    <t>Application X is crashing every time I open it. Market growth film.</t>
  </si>
  <si>
    <t>TICKET-1032</t>
  </si>
  <si>
    <t>Can't connect to the Wi-Fi. It's showing 'No internet access'. Could north state feel others participant.</t>
  </si>
  <si>
    <t>TICKET-1033</t>
  </si>
  <si>
    <t>Follow chair add finally these plan staff. Across shoulder school free.</t>
  </si>
  <si>
    <t>TICKET-1034</t>
  </si>
  <si>
    <t>Application X is crashing every time I open it. Bag half join treat water by affect.</t>
  </si>
  <si>
    <t>TICKET-1035</t>
  </si>
  <si>
    <t>My laptop's keyboard isn't working properly, some keys are stuck. Science bad news pressure anything probably save.</t>
  </si>
  <si>
    <t>TICKET-1036</t>
  </si>
  <si>
    <t>Application X is crashing every time I open it. Fund project find law identify close worker.</t>
  </si>
  <si>
    <t>TICKET-1037</t>
  </si>
  <si>
    <t>Rate play media air. Trade thank hundred choice reduce remember possible us.</t>
  </si>
  <si>
    <t>TICKET-1038</t>
  </si>
  <si>
    <t>Application X is crashing every time I open it. Effort avoid door shoulder cut.</t>
  </si>
  <si>
    <t>TICKET-1039</t>
  </si>
  <si>
    <t>I'm locked out of my account and can't reset my password. Point fine stop radio chair tree career scene.</t>
  </si>
  <si>
    <t>TICKET-1040</t>
  </si>
  <si>
    <t>Can't connect to the Wi-Fi. It's showing 'No internet access'. Simple practice operation move put.</t>
  </si>
  <si>
    <t>TICKET-1041</t>
  </si>
  <si>
    <t>My laptop's keyboard isn't working properly, some keys are stuck. Firm discuss audience say amount.</t>
  </si>
  <si>
    <t>TICKET-1042</t>
  </si>
  <si>
    <t>Physical business information.
Activity else house another. Still protect admit answer.</t>
  </si>
  <si>
    <t>TICKET-1043</t>
  </si>
  <si>
    <t>Application X is crashing every time I open it. Anything despite not.</t>
  </si>
  <si>
    <t>Critical</t>
  </si>
  <si>
    <t>TICKET-1044</t>
  </si>
  <si>
    <t>My laptop's keyboard isn't working properly, some keys are stuck. Film answer tax different carry represent.</t>
  </si>
  <si>
    <t>TICKET-1045</t>
  </si>
  <si>
    <t>Application X is crashing every time I open it. American computer let go event.</t>
  </si>
  <si>
    <t>TICKET-1046</t>
  </si>
  <si>
    <t>Can't connect to the Wi-Fi. It's showing 'No internet access'. Build oil wait community less happen.</t>
  </si>
  <si>
    <t>TICKET-1047</t>
  </si>
  <si>
    <t>I'm locked out of my account and can't reset my password. Decide stuff agree national politics current son.</t>
  </si>
  <si>
    <t>TICKET-1048</t>
  </si>
  <si>
    <t>Can't connect to the Wi-Fi. It's showing 'No internet access'. Phone interview worker could.</t>
  </si>
  <si>
    <t>TICKET-1049</t>
  </si>
  <si>
    <t>Can't connect to the Wi-Fi. It's showing 'No internet access'. Together life least mission.</t>
  </si>
  <si>
    <t>TICKET-1050</t>
  </si>
  <si>
    <t>If forget newspaper behavior note put. Almost affect entire. Trial set capital real.</t>
  </si>
  <si>
    <t>TICKET-1051</t>
  </si>
  <si>
    <t>Application X is crashing every time I open it. My sound short.</t>
  </si>
  <si>
    <t>TICKET-1052</t>
  </si>
  <si>
    <t>Application X is crashing every time I open it. Where culture site value set.</t>
  </si>
  <si>
    <t>TICKET-1053</t>
  </si>
  <si>
    <t>Application X is crashing every time I open it. Go claim billion small experience old.</t>
  </si>
  <si>
    <t>TICKET-1054</t>
  </si>
  <si>
    <t>Can't connect to the Wi-Fi. It's showing 'No internet access'. Option name including.</t>
  </si>
  <si>
    <t>TICKET-1055</t>
  </si>
  <si>
    <t>I'm locked out of my account and can't reset my password. Idea enter expert decision something.</t>
  </si>
  <si>
    <t>TICKET-1056</t>
  </si>
  <si>
    <t>Through culture similar finally. Oil world money about fine street small.</t>
  </si>
  <si>
    <t>TICKET-1057</t>
  </si>
  <si>
    <t>Weight go sort sign law response since. Sister other actually Mrs fight everything get.</t>
  </si>
  <si>
    <t>TICKET-1058</t>
  </si>
  <si>
    <t>Particular ask company nearly exist exactly friend.</t>
  </si>
  <si>
    <t>TICKET-1059</t>
  </si>
  <si>
    <t>Application X is crashing every time I open it. Skin subject purpose baby training.</t>
  </si>
  <si>
    <t>TICKET-1060</t>
  </si>
  <si>
    <t>My laptop's keyboard isn't working properly, some keys are stuck. Than none office improve.</t>
  </si>
  <si>
    <t>TICKET-1061</t>
  </si>
  <si>
    <t>Application X is crashing every time I open it. With because article scene father black.</t>
  </si>
  <si>
    <t>TICKET-1062</t>
  </si>
  <si>
    <t>Application X is crashing every time I open it. Food pass energy fund need read anything.</t>
  </si>
  <si>
    <t>TICKET-1063</t>
  </si>
  <si>
    <t>I'm locked out of my account and can't reset my password. Agreement news significant cultural agree.</t>
  </si>
  <si>
    <t>TICKET-1064</t>
  </si>
  <si>
    <t>I'm locked out of my account and can't reset my password. Especially under always tend teacher build.</t>
  </si>
  <si>
    <t>TICKET-1065</t>
  </si>
  <si>
    <t>Can't connect to the Wi-Fi. It's showing 'No internet access'. Child as debate economy.</t>
  </si>
  <si>
    <t>TICKET-1066</t>
  </si>
  <si>
    <t>My laptop's keyboard isn't working properly, some keys are stuck. Someone poor mission fill free.</t>
  </si>
  <si>
    <t>TICKET-1067</t>
  </si>
  <si>
    <t>Can't connect to the Wi-Fi. It's showing 'No internet access'. Represent safe scene wall dog.</t>
  </si>
  <si>
    <t>TICKET-1068</t>
  </si>
  <si>
    <t>Application X is crashing every time I open it. Claim success those baby.</t>
  </si>
  <si>
    <t>TICKET-1069</t>
  </si>
  <si>
    <t>Application X is crashing every time I open it. Term lot their. Dark itself deal race Democrat.</t>
  </si>
  <si>
    <t>TICKET-1070</t>
  </si>
  <si>
    <t>My laptop's keyboard isn't working properly, some keys are stuck. Bad past glass strategy. Above skin station.</t>
  </si>
  <si>
    <t>TICKET-1071</t>
  </si>
  <si>
    <t>Application X is crashing every time I open it. Tv control generation away public remain.</t>
  </si>
  <si>
    <t>TICKET-1072</t>
  </si>
  <si>
    <t>Can't connect to the Wi-Fi. It's showing 'No internet access'. Alone skill foot benefit.</t>
  </si>
  <si>
    <t>TICKET-1073</t>
  </si>
  <si>
    <t>Media respond them indicate. Up movie television stop. Garden ten city already close.</t>
  </si>
  <si>
    <t>TICKET-1074</t>
  </si>
  <si>
    <t>Lay support mouth control understand could. Husband for evening upon involve.</t>
  </si>
  <si>
    <t>TICKET-1075</t>
  </si>
  <si>
    <t>Company month civil season include. Onto life for both little.</t>
  </si>
  <si>
    <t>TICKET-1076</t>
  </si>
  <si>
    <t>Application X is crashing every time I open it. Candidate push mind exactly feel.</t>
  </si>
  <si>
    <t>TICKET-1077</t>
  </si>
  <si>
    <t>Writer city suffer within important recently difference. Wait only relationship free.</t>
  </si>
  <si>
    <t>TICKET-1078</t>
  </si>
  <si>
    <t>Application X is crashing every time I open it. Form customer bill interest remember which.</t>
  </si>
  <si>
    <t>TICKET-1079</t>
  </si>
  <si>
    <t>Can't connect to the Wi-Fi. It's showing 'No internet access'. Agree begin guess ask choice low themselves born.</t>
  </si>
  <si>
    <t>TICKET-1080</t>
  </si>
  <si>
    <t>Application X is crashing every time I open it. Center worry nor whole.</t>
  </si>
  <si>
    <t>TICKET-1081</t>
  </si>
  <si>
    <t>I'm locked out of my account and can't reset my password. Miss son responsibility hour.</t>
  </si>
  <si>
    <t>TICKET-1082</t>
  </si>
  <si>
    <t>Application X is crashing every time I open it. Develop course foreign no either.</t>
  </si>
  <si>
    <t>TICKET-1083</t>
  </si>
  <si>
    <t>Public husband return country service very. Be exactly time firm yard price bad.</t>
  </si>
  <si>
    <t>TICKET-1084</t>
  </si>
  <si>
    <t>My laptop's keyboard isn't working properly, some keys are stuck. Perform author more owner girl message.</t>
  </si>
  <si>
    <t>TICKET-1085</t>
  </si>
  <si>
    <t>I'm locked out of my account and can't reset my password. Church stop environment.</t>
  </si>
  <si>
    <t>TICKET-1086</t>
  </si>
  <si>
    <t>Application X is crashing every time I open it. Everyone body modern feeling shake loss.</t>
  </si>
  <si>
    <t>TICKET-1087</t>
  </si>
  <si>
    <t>My laptop's keyboard isn't working properly, some keys are stuck. Whole material thus despite firm more.</t>
  </si>
  <si>
    <t>TICKET-1088</t>
  </si>
  <si>
    <t>Application X is crashing every time I open it. Until statement century seat vote never.</t>
  </si>
  <si>
    <t>TICKET-1089</t>
  </si>
  <si>
    <t>Application X is crashing every time I open it. Big season the.</t>
  </si>
  <si>
    <t>TICKET-1090</t>
  </si>
  <si>
    <t>Application X is crashing every time I open it. Usually career attention realize.</t>
  </si>
  <si>
    <t>TICKET-1091</t>
  </si>
  <si>
    <t>Application X is crashing every time I open it. Firm tonight statement feel Mrs music.</t>
  </si>
  <si>
    <t>TICKET-1092</t>
  </si>
  <si>
    <t>Can't connect to the Wi-Fi. It's showing 'No internet access'. Life change act. Through imagine again whole.</t>
  </si>
  <si>
    <t>TICKET-1093</t>
  </si>
  <si>
    <t>Including development attack wide. Concern his environment attack program rest team.</t>
  </si>
  <si>
    <t>TICKET-1094</t>
  </si>
  <si>
    <t>I'm locked out of my account and can't reset my password. Another collection another many.</t>
  </si>
  <si>
    <t>TICKET-1095</t>
  </si>
  <si>
    <t>Compare or at environmental. Six what them fall. Husband certain institution phone resource blood.</t>
  </si>
  <si>
    <t>TICKET-1096</t>
  </si>
  <si>
    <t>I'm locked out of my account and can't reset my password. Medical let door front. Law end always.</t>
  </si>
  <si>
    <t>TICKET-1097</t>
  </si>
  <si>
    <t>My laptop's keyboard isn't working properly, some keys are stuck. Rich fire power city. Water career next relate.</t>
  </si>
  <si>
    <t>TICKET-1098</t>
  </si>
  <si>
    <t>Application X is crashing every time I open it. Result happy song want finish stuff.</t>
  </si>
  <si>
    <t>TICKET-1099</t>
  </si>
  <si>
    <t>My laptop's keyboard isn't working properly, some keys are stuck. Themselves big matter happy small.</t>
  </si>
  <si>
    <t>TICKET-1100</t>
  </si>
  <si>
    <t>Application X is crashing every time I open it. Agent will respond help.</t>
  </si>
  <si>
    <t>TICKET-1101</t>
  </si>
  <si>
    <t>Application X is crashing every time I open it. Short commercial everybody difficult change.</t>
  </si>
  <si>
    <t>TICKET-1102</t>
  </si>
  <si>
    <t>Any today within none hot again green. Remember attack event view father.</t>
  </si>
  <si>
    <t>TICKET-1103</t>
  </si>
  <si>
    <t>Application X is crashing every time I open it. Represent senior his finish include nothing.</t>
  </si>
  <si>
    <t>TICKET-1104</t>
  </si>
  <si>
    <t>She certain boy build. Test bag country president environment.</t>
  </si>
  <si>
    <t>TICKET-1105</t>
  </si>
  <si>
    <t>Can't connect to the Wi-Fi. It's showing 'No internet access'. Hair job save son.</t>
  </si>
  <si>
    <t>TICKET-1106</t>
  </si>
  <si>
    <t>Growth middle establish public.</t>
  </si>
  <si>
    <t>TICKET-1107</t>
  </si>
  <si>
    <t>My laptop's keyboard isn't working properly, some keys are stuck. Produce require line letter listen often.</t>
  </si>
  <si>
    <t>TICKET-1108</t>
  </si>
  <si>
    <t>My laptop's keyboard isn't working properly, some keys are stuck. At bag continue.</t>
  </si>
  <si>
    <t>TICKET-1109</t>
  </si>
  <si>
    <t>Application X is crashing every time I open it. Without pass book tend.</t>
  </si>
  <si>
    <t>TICKET-1110</t>
  </si>
  <si>
    <t>I'm locked out of my account and can't reset my password. Right where add.</t>
  </si>
  <si>
    <t>TICKET-1111</t>
  </si>
  <si>
    <t>Application X is crashing every time I open it. Argue team senior low training.</t>
  </si>
  <si>
    <t>TICKET-1112</t>
  </si>
  <si>
    <t>Plant attack should. Drive international today. Pretty statement her upon nation.</t>
  </si>
  <si>
    <t>TICKET-1113</t>
  </si>
  <si>
    <t>My laptop's keyboard isn't working properly, some keys are stuck. Chance place build body population.</t>
  </si>
  <si>
    <t>TICKET-1114</t>
  </si>
  <si>
    <t>Something million activity. Interview under cover career under. Can address show public.</t>
  </si>
  <si>
    <t>TICKET-1115</t>
  </si>
  <si>
    <t>I'm locked out of my account and can't reset my password. Receive nature option oil read trouble.</t>
  </si>
  <si>
    <t>TICKET-1116</t>
  </si>
  <si>
    <t>Application X is crashing every time I open it. Toward ago director condition food share meet.</t>
  </si>
  <si>
    <t>TICKET-1117</t>
  </si>
  <si>
    <t>I'm locked out of my account and can't reset my password. For we when drive. Start identify now throw.</t>
  </si>
  <si>
    <t>TICKET-1118</t>
  </si>
  <si>
    <t>Even focus animal civil quality lay skill. Need maybe former return.</t>
  </si>
  <si>
    <t>TICKET-1119</t>
  </si>
  <si>
    <t>My laptop's keyboard isn't working properly, some keys are stuck. Cup money work certainly color.</t>
  </si>
  <si>
    <t>TICKET-1120</t>
  </si>
  <si>
    <t>Clear late win beat. Those arm say year him science door.</t>
  </si>
  <si>
    <t>TICKET-1121</t>
  </si>
  <si>
    <t>I'm locked out of my account and can't reset my password. Purpose almost nature create authority company.</t>
  </si>
  <si>
    <t>TICKET-1122</t>
  </si>
  <si>
    <t>Application X is crashing every time I open it. Garden better chance impact where how member.</t>
  </si>
  <si>
    <t>TICKET-1123</t>
  </si>
  <si>
    <t>Can't connect to the Wi-Fi. It's showing 'No internet access'. Bag without else red. Able year decision others.</t>
  </si>
  <si>
    <t>TICKET-1124</t>
  </si>
  <si>
    <t>Police machine star. Computer lead control across blue eye force. Parent set professor sit couple.</t>
  </si>
  <si>
    <t>TICKET-1125</t>
  </si>
  <si>
    <t>Group resource dinner knowledge scientist Mr. Police simply enter training too.</t>
  </si>
  <si>
    <t>TICKET-1126</t>
  </si>
  <si>
    <t>My laptop's keyboard isn't working properly, some keys are stuck. Go wear understand relate.</t>
  </si>
  <si>
    <t>TICKET-1127</t>
  </si>
  <si>
    <t>Application X is crashing every time I open it. Gas mother rate wind fight success medical.</t>
  </si>
  <si>
    <t>TICKET-1128</t>
  </si>
  <si>
    <t>Can't connect to the Wi-Fi. It's showing 'No internet access'. These entire million eat play sit.</t>
  </si>
  <si>
    <t>TICKET-1129</t>
  </si>
  <si>
    <t>Draw once season talk forward. Decision partner north realize finish one question.</t>
  </si>
  <si>
    <t>TICKET-1130</t>
  </si>
  <si>
    <t>Catch travel form bar pretty himself team. Light suffer evidence land ok may guy.</t>
  </si>
  <si>
    <t>TICKET-1131</t>
  </si>
  <si>
    <t>Act believe heavy watch best game part. Too language mean. Cut age personal resource.</t>
  </si>
  <si>
    <t>TICKET-1132</t>
  </si>
  <si>
    <t>Year name message voice data. Protect word up today. Break drop already life.</t>
  </si>
  <si>
    <t>TICKET-1133</t>
  </si>
  <si>
    <t>I'm locked out of my account and can't reset my password. Maintain tree story research hair why.</t>
  </si>
  <si>
    <t>TICKET-1134</t>
  </si>
  <si>
    <t>Memory process group arm attack indicate mother. View three prepare by.</t>
  </si>
  <si>
    <t>TICKET-1135</t>
  </si>
  <si>
    <t>Foreign sign be money cup raise keep. Right scene market.</t>
  </si>
  <si>
    <t>TICKET-1136</t>
  </si>
  <si>
    <t>My laptop's keyboard isn't working properly, some keys are stuck. Certain six among before.</t>
  </si>
  <si>
    <t>TICKET-1137</t>
  </si>
  <si>
    <t>My laptop's keyboard isn't working properly, some keys are stuck. Ago his against point garden drug.</t>
  </si>
  <si>
    <t>TICKET-1138</t>
  </si>
  <si>
    <t>Application X is crashing every time I open it. Any state food citizen.</t>
  </si>
  <si>
    <t>TICKET-1139</t>
  </si>
  <si>
    <t>Can't connect to the Wi-Fi. It's showing 'No internet access'. He particularly begin save area finally word.</t>
  </si>
  <si>
    <t>TICKET-1140</t>
  </si>
  <si>
    <t>My laptop's keyboard isn't working properly, some keys are stuck. Serious simply mind cost movie actually.</t>
  </si>
  <si>
    <t>TICKET-1141</t>
  </si>
  <si>
    <t>My laptop's keyboard isn't working properly, some keys are stuck. Social approach mother white.</t>
  </si>
  <si>
    <t>TICKET-1142</t>
  </si>
  <si>
    <t>Can't connect to the Wi-Fi. It's showing 'No internet access'. Enter room up sound nature.</t>
  </si>
  <si>
    <t>TICKET-1143</t>
  </si>
  <si>
    <t>My laptop's keyboard isn't working properly, some keys are stuck. Effort to since question.</t>
  </si>
  <si>
    <t>TICKET-1144</t>
  </si>
  <si>
    <t>Application X is crashing every time I open it. These drive president building.</t>
  </si>
  <si>
    <t>TICKET-1145</t>
  </si>
  <si>
    <t>Suddenly effort she without without.</t>
  </si>
  <si>
    <t>TICKET-1146</t>
  </si>
  <si>
    <t>Can't connect to the Wi-Fi. It's showing 'No internet access'. Should that nation can difficult nice.</t>
  </si>
  <si>
    <t>TICKET-1147</t>
  </si>
  <si>
    <t>Look scene real owner agent whose specific. Along they yourself character year or behind.</t>
  </si>
  <si>
    <t>TICKET-1148</t>
  </si>
  <si>
    <t>You reflect radio. Especially speech wish interesting wife.</t>
  </si>
  <si>
    <t>TICKET-1149</t>
  </si>
  <si>
    <t>My laptop's keyboard isn't working properly, some keys are stuck. Event pattern factor deep manager work.</t>
  </si>
  <si>
    <t>submission_time</t>
  </si>
  <si>
    <t>resolution_time</t>
  </si>
  <si>
    <t>Resolution_time(hrs)</t>
  </si>
  <si>
    <t>Day_week</t>
  </si>
  <si>
    <t>Day_Month</t>
  </si>
  <si>
    <t>Hour_day</t>
  </si>
  <si>
    <t>Mon</t>
  </si>
  <si>
    <t>Tue</t>
  </si>
  <si>
    <t>Wed</t>
  </si>
  <si>
    <t>Thu</t>
  </si>
  <si>
    <t>Fri</t>
  </si>
  <si>
    <t>Sat</t>
  </si>
  <si>
    <t>Sun</t>
  </si>
  <si>
    <t>Grand Total</t>
  </si>
  <si>
    <t>Count of ticket_id</t>
  </si>
  <si>
    <t>Day_Week</t>
  </si>
  <si>
    <t>Tickets by Day of Week</t>
  </si>
  <si>
    <t>Tickets by Day of Month</t>
  </si>
  <si>
    <t>Jun</t>
  </si>
  <si>
    <t>Jul</t>
  </si>
  <si>
    <t>Aug</t>
  </si>
  <si>
    <t>Sep</t>
  </si>
  <si>
    <t>Tickets by Day of Hours</t>
  </si>
  <si>
    <t>Day_Hour</t>
  </si>
  <si>
    <t>2.Resolution Time Metrics: What is the average resolution time for all tickets? How does this time vary based on category and priority?</t>
  </si>
  <si>
    <t>1.Ticket Volume Trends: How has the number of tickets changed over time? Are there specific days of the week, months, or hours of the day that see a higher volume of tickets?</t>
  </si>
  <si>
    <t>Average of Resolution_time(hrs)</t>
  </si>
  <si>
    <t>Resolution by category</t>
  </si>
  <si>
    <t>Category</t>
  </si>
  <si>
    <t>Resolution by priority</t>
  </si>
  <si>
    <t>Priority</t>
  </si>
  <si>
    <t>3.Top Problems &amp; Root Causes: Based on the description column, what are the most frequently mentioned keywords? Can you identify any recurring themes that might point to a systemic issue?</t>
  </si>
  <si>
    <t>Application crashing is the most frequent issue reported by users</t>
  </si>
  <si>
    <t>Network/Wi-Fi connectivity problems are the second most common</t>
  </si>
  <si>
    <t>Hardware issues, especially keyboard malfunctions, occur regularly</t>
  </si>
  <si>
    <t>Account access issues such as login failure and password reset problems are also common</t>
  </si>
  <si>
    <t>Application crashes are likely due to software bugs, compatibility issues, or system overload</t>
  </si>
  <si>
    <t>Network issues are caused by poor connectivity or infrastructure limitations</t>
  </si>
  <si>
    <t>Hardware problems arise from physical damage or wear and tear</t>
  </si>
  <si>
    <t>Access issues are due to lack of self-service systems and user credential problems</t>
  </si>
  <si>
    <t>Key Insight</t>
  </si>
  <si>
    <t>Most tickets are concentrated around a few recurring issues, indicating systemic problems rather than random failures</t>
  </si>
  <si>
    <t>Top Problems Identified</t>
  </si>
  <si>
    <t xml:space="preserve">Root Cause Analysis </t>
  </si>
  <si>
    <t>4.Analyst Performance: Is there a significant difference in the average resolution time among different assigned_analyst? Who are the top performers, and who might need additional support or training?</t>
  </si>
  <si>
    <t>Assigned_Aanalyst</t>
  </si>
  <si>
    <t>Total Tickets</t>
  </si>
  <si>
    <t>Avg Resolution Time</t>
  </si>
  <si>
    <t>Top Issue</t>
  </si>
  <si>
    <t>Application Crash</t>
  </si>
  <si>
    <t>Top Analyst</t>
  </si>
  <si>
    <t>Avg hours day</t>
  </si>
  <si>
    <t>Recommendations</t>
  </si>
  <si>
    <r>
      <t xml:space="preserve">Implement an </t>
    </r>
    <r>
      <rPr>
        <b/>
        <sz val="11"/>
        <color theme="1"/>
        <rFont val="Calibri"/>
        <family val="2"/>
        <scheme val="minor"/>
      </rPr>
      <t>automated password reset system</t>
    </r>
    <r>
      <rPr>
        <sz val="11"/>
        <color theme="1"/>
        <rFont val="Calibri"/>
        <family val="2"/>
        <scheme val="minor"/>
      </rPr>
      <t xml:space="preserve"> to reduce the number of account access-related tickets</t>
    </r>
  </si>
  <si>
    <r>
      <t xml:space="preserve">Investigate and resolve </t>
    </r>
    <r>
      <rPr>
        <b/>
        <sz val="11"/>
        <color theme="1"/>
        <rFont val="Calibri"/>
        <family val="2"/>
        <scheme val="minor"/>
      </rPr>
      <t>application crash issues</t>
    </r>
    <r>
      <rPr>
        <sz val="11"/>
        <color theme="1"/>
        <rFont val="Calibri"/>
        <family val="2"/>
        <scheme val="minor"/>
      </rPr>
      <t>, as they are the most frequent problem</t>
    </r>
  </si>
  <si>
    <r>
      <t xml:space="preserve">Improve </t>
    </r>
    <r>
      <rPr>
        <b/>
        <sz val="11"/>
        <color theme="1"/>
        <rFont val="Calibri"/>
        <family val="2"/>
        <scheme val="minor"/>
      </rPr>
      <t>network infrastructure and monitoring</t>
    </r>
    <r>
      <rPr>
        <sz val="11"/>
        <color theme="1"/>
        <rFont val="Calibri"/>
        <family val="2"/>
        <scheme val="minor"/>
      </rPr>
      <t xml:space="preserve"> to minimize Wi-Fi and connectivity issues</t>
    </r>
  </si>
  <si>
    <r>
      <t xml:space="preserve">Schedule </t>
    </r>
    <r>
      <rPr>
        <b/>
        <sz val="11"/>
        <color theme="1"/>
        <rFont val="Calibri"/>
        <family val="2"/>
        <scheme val="minor"/>
      </rPr>
      <t>regular hardware maintenance</t>
    </r>
    <r>
      <rPr>
        <sz val="11"/>
        <color theme="1"/>
        <rFont val="Calibri"/>
        <family val="2"/>
        <scheme val="minor"/>
      </rPr>
      <t xml:space="preserve"> to reduce device-related problems such as keyboard failures</t>
    </r>
  </si>
  <si>
    <r>
      <t xml:space="preserve">Provide </t>
    </r>
    <r>
      <rPr>
        <b/>
        <sz val="11"/>
        <color theme="1"/>
        <rFont val="Calibri"/>
        <family val="2"/>
        <scheme val="minor"/>
      </rPr>
      <t>training and support for analysts</t>
    </r>
    <r>
      <rPr>
        <sz val="11"/>
        <color theme="1"/>
        <rFont val="Calibri"/>
        <family val="2"/>
        <scheme val="minor"/>
      </rPr>
      <t xml:space="preserve"> with higher resolution times to improve efficiency</t>
    </r>
  </si>
  <si>
    <r>
      <t xml:space="preserve">Distribute workload effectively by assigning </t>
    </r>
    <r>
      <rPr>
        <b/>
        <sz val="11"/>
        <color theme="1"/>
        <rFont val="Calibri"/>
        <family val="2"/>
        <scheme val="minor"/>
      </rPr>
      <t>complex tickets to experienced analysts</t>
    </r>
  </si>
  <si>
    <r>
      <t xml:space="preserve">Allocate more support staff during </t>
    </r>
    <r>
      <rPr>
        <b/>
        <sz val="11"/>
        <color theme="1"/>
        <rFont val="Calibri"/>
        <family val="2"/>
        <scheme val="minor"/>
      </rPr>
      <t>peak hours</t>
    </r>
    <r>
      <rPr>
        <sz val="11"/>
        <color theme="1"/>
        <rFont val="Calibri"/>
        <family val="2"/>
        <scheme val="minor"/>
      </rPr>
      <t xml:space="preserve"> to handle higher ticket volumes</t>
    </r>
  </si>
  <si>
    <r>
      <t xml:space="preserve">Develop a </t>
    </r>
    <r>
      <rPr>
        <b/>
        <sz val="11"/>
        <color theme="1"/>
        <rFont val="Calibri"/>
        <family val="2"/>
        <scheme val="minor"/>
      </rPr>
      <t>knowledge base or FAQ system</t>
    </r>
    <r>
      <rPr>
        <sz val="11"/>
        <color theme="1"/>
        <rFont val="Calibri"/>
        <family val="2"/>
        <scheme val="minor"/>
      </rPr>
      <t xml:space="preserve"> for common issues to reduce repetitive tickets</t>
    </r>
  </si>
  <si>
    <r>
      <t xml:space="preserve">Implement </t>
    </r>
    <r>
      <rPr>
        <b/>
        <sz val="11"/>
        <color theme="1"/>
        <rFont val="Calibri"/>
        <family val="2"/>
        <scheme val="minor"/>
      </rPr>
      <t>ticket prioritization and automation</t>
    </r>
    <r>
      <rPr>
        <sz val="11"/>
        <color theme="1"/>
        <rFont val="Calibri"/>
        <family val="2"/>
        <scheme val="minor"/>
      </rPr>
      <t xml:space="preserve"> to ensure faster resolution of critical issues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</si>
</sst>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color theme="1"/>
      <name val="Calibri"/>
      <family val="2"/>
      <scheme val="minor"/>
    </font>
    <font>
      <b/>
      <sz val="11"/>
      <color theme="1"/>
      <name val="Calibri"/>
      <family val="2"/>
      <scheme val="minor"/>
    </font>
    <font>
      <b/>
      <sz val="13.5"/>
      <color theme="1"/>
      <name val="Calibri"/>
      <family val="2"/>
      <scheme val="minor"/>
    </font>
    <font>
      <b/>
      <sz val="24"/>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8">
    <xf numFmtId="0" fontId="0" fillId="0" borderId="0" xfId="0"/>
    <xf numFmtId="47" fontId="0" fillId="0" borderId="0" xfId="0" applyNumberFormat="1"/>
    <xf numFmtId="0" fontId="0" fillId="0" borderId="0" xfId="0" applyAlignment="1">
      <alignment wrapText="1"/>
    </xf>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2" fontId="0" fillId="0" borderId="0" xfId="0" applyNumberFormat="1"/>
    <xf numFmtId="0" fontId="1" fillId="0" borderId="0" xfId="0" applyFont="1" applyAlignment="1">
      <alignment horizontal="left"/>
    </xf>
    <xf numFmtId="0" fontId="2" fillId="0" borderId="0" xfId="0" applyFont="1" applyAlignment="1">
      <alignment vertical="center"/>
    </xf>
    <xf numFmtId="0" fontId="0" fillId="0" borderId="0" xfId="0" applyAlignment="1">
      <alignment horizontal="left" vertical="center" indent="1"/>
    </xf>
    <xf numFmtId="1" fontId="0" fillId="0" borderId="0" xfId="0" applyNumberFormat="1"/>
    <xf numFmtId="0" fontId="0" fillId="0" borderId="0" xfId="0" applyNumberFormat="1"/>
    <xf numFmtId="0" fontId="3" fillId="0" borderId="0" xfId="0" applyFont="1" applyAlignment="1">
      <alignment vertical="center"/>
    </xf>
    <xf numFmtId="0" fontId="0" fillId="2" borderId="0" xfId="0" applyFill="1"/>
    <xf numFmtId="0" fontId="0" fillId="3" borderId="0" xfId="0" applyFill="1"/>
    <xf numFmtId="0" fontId="0" fillId="3" borderId="0" xfId="0" applyNumberFormat="1" applyFill="1"/>
  </cellXfs>
  <cellStyles count="1">
    <cellStyle name="Normal" xfId="0" builtinId="0"/>
  </cellStyles>
  <dxfs count="43">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29" formatCode="mm:ss.0"/>
    </dxf>
    <dxf>
      <numFmt numFmtId="29" formatCode="mm:ss.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[Day5.xlsx]Detailed 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effectLst/>
              </a:rPr>
              <a:t>Tickets by Day of Week </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'Detailed Analysis'!$A$4:$A$11</c:f>
              <c:strCache>
                <c:ptCount val="7"/>
                <c:pt idx="0">
                  <c:v>Mon</c:v>
                </c:pt>
                <c:pt idx="1">
                  <c:v>Tue</c:v>
                </c:pt>
                <c:pt idx="2">
                  <c:v>Wed</c:v>
                </c:pt>
                <c:pt idx="3">
                  <c:v>Thu</c:v>
                </c:pt>
                <c:pt idx="4">
                  <c:v>Fri</c:v>
                </c:pt>
                <c:pt idx="5">
                  <c:v>Sat</c:v>
                </c:pt>
                <c:pt idx="6">
                  <c:v>Sun</c:v>
                </c:pt>
              </c:strCache>
            </c:strRef>
          </c:cat>
          <c:val>
            <c:numRef>
              <c:f>'Detailed Analysis'!$B$4:$B$11</c:f>
              <c:numCache>
                <c:formatCode>General</c:formatCode>
                <c:ptCount val="7"/>
                <c:pt idx="0">
                  <c:v>19</c:v>
                </c:pt>
                <c:pt idx="1">
                  <c:v>22</c:v>
                </c:pt>
                <c:pt idx="2">
                  <c:v>24</c:v>
                </c:pt>
                <c:pt idx="3">
                  <c:v>23</c:v>
                </c:pt>
                <c:pt idx="4">
                  <c:v>16</c:v>
                </c:pt>
                <c:pt idx="5">
                  <c:v>20</c:v>
                </c:pt>
                <c:pt idx="6">
                  <c:v>26</c:v>
                </c:pt>
              </c:numCache>
            </c:numRef>
          </c:val>
          <c:smooth val="0"/>
          <c:extLst>
            <c:ext xmlns:c16="http://schemas.microsoft.com/office/drawing/2014/chart" uri="{C3380CC4-5D6E-409C-BE32-E72D297353CC}">
              <c16:uniqueId val="{00000000-B24B-4E20-953E-7D1EC4B7105A}"/>
            </c:ext>
          </c:extLst>
        </c:ser>
        <c:dLbls>
          <c:showLegendKey val="0"/>
          <c:showVal val="0"/>
          <c:showCatName val="0"/>
          <c:showSerName val="0"/>
          <c:showPercent val="0"/>
          <c:showBubbleSize val="0"/>
        </c:dLbls>
        <c:marker val="1"/>
        <c:smooth val="0"/>
        <c:axId val="1355820831"/>
        <c:axId val="1355821311"/>
      </c:lineChart>
      <c:catAx>
        <c:axId val="1355820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21311"/>
        <c:crosses val="autoZero"/>
        <c:auto val="1"/>
        <c:lblAlgn val="ctr"/>
        <c:lblOffset val="100"/>
        <c:noMultiLvlLbl val="0"/>
      </c:catAx>
      <c:valAx>
        <c:axId val="1355821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 tickets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2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[Day5.xlsx]Detailed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Tickets</a:t>
            </a:r>
            <a:r>
              <a:rPr lang="en-US" sz="1600" b="1" baseline="0"/>
              <a:t> by Day of Month</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'Detailed Analysis'!$A$25:$A$29</c:f>
              <c:strCache>
                <c:ptCount val="4"/>
                <c:pt idx="0">
                  <c:v>Jun</c:v>
                </c:pt>
                <c:pt idx="1">
                  <c:v>Jul</c:v>
                </c:pt>
                <c:pt idx="2">
                  <c:v>Aug</c:v>
                </c:pt>
                <c:pt idx="3">
                  <c:v>Sep</c:v>
                </c:pt>
              </c:strCache>
            </c:strRef>
          </c:cat>
          <c:val>
            <c:numRef>
              <c:f>'Detailed Analysis'!$B$25:$B$29</c:f>
              <c:numCache>
                <c:formatCode>General</c:formatCode>
                <c:ptCount val="4"/>
                <c:pt idx="0">
                  <c:v>27</c:v>
                </c:pt>
                <c:pt idx="1">
                  <c:v>51</c:v>
                </c:pt>
                <c:pt idx="2">
                  <c:v>45</c:v>
                </c:pt>
                <c:pt idx="3">
                  <c:v>27</c:v>
                </c:pt>
              </c:numCache>
            </c:numRef>
          </c:val>
          <c:smooth val="0"/>
          <c:extLst>
            <c:ext xmlns:c16="http://schemas.microsoft.com/office/drawing/2014/chart" uri="{C3380CC4-5D6E-409C-BE32-E72D297353CC}">
              <c16:uniqueId val="{00000000-B30D-45A4-882E-1FC98CD97DD6}"/>
            </c:ext>
          </c:extLst>
        </c:ser>
        <c:dLbls>
          <c:dLblPos val="t"/>
          <c:showLegendKey val="0"/>
          <c:showVal val="1"/>
          <c:showCatName val="0"/>
          <c:showSerName val="0"/>
          <c:showPercent val="0"/>
          <c:showBubbleSize val="0"/>
        </c:dLbls>
        <c:marker val="1"/>
        <c:smooth val="0"/>
        <c:axId val="1355837631"/>
        <c:axId val="1355838111"/>
      </c:lineChart>
      <c:catAx>
        <c:axId val="135583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38111"/>
        <c:crosses val="autoZero"/>
        <c:auto val="1"/>
        <c:lblAlgn val="ctr"/>
        <c:lblOffset val="100"/>
        <c:noMultiLvlLbl val="0"/>
      </c:catAx>
      <c:valAx>
        <c:axId val="1355838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a:t>
                </a:r>
                <a:r>
                  <a:rPr lang="en-IN" baseline="0"/>
                  <a:t> tickets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3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[Day5.xlsx]Detailed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Tickets</a:t>
            </a:r>
            <a:r>
              <a:rPr lang="en-US" sz="1600" b="1" baseline="0">
                <a:solidFill>
                  <a:schemeClr val="tx1"/>
                </a:solidFill>
              </a:rPr>
              <a:t> by Hours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'Detailed Analysis'!$A$39:$A$63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'Detailed Analysis'!$B$39:$B$63</c:f>
              <c:numCache>
                <c:formatCode>General</c:formatCode>
                <c:ptCount val="24"/>
                <c:pt idx="0">
                  <c:v>9</c:v>
                </c:pt>
                <c:pt idx="1">
                  <c:v>6</c:v>
                </c:pt>
                <c:pt idx="2">
                  <c:v>4</c:v>
                </c:pt>
                <c:pt idx="3">
                  <c:v>6</c:v>
                </c:pt>
                <c:pt idx="4">
                  <c:v>3</c:v>
                </c:pt>
                <c:pt idx="5">
                  <c:v>6</c:v>
                </c:pt>
                <c:pt idx="6">
                  <c:v>9</c:v>
                </c:pt>
                <c:pt idx="7">
                  <c:v>6</c:v>
                </c:pt>
                <c:pt idx="8">
                  <c:v>5</c:v>
                </c:pt>
                <c:pt idx="9">
                  <c:v>6</c:v>
                </c:pt>
                <c:pt idx="10">
                  <c:v>6</c:v>
                </c:pt>
                <c:pt idx="11">
                  <c:v>7</c:v>
                </c:pt>
                <c:pt idx="12">
                  <c:v>7</c:v>
                </c:pt>
                <c:pt idx="13">
                  <c:v>7</c:v>
                </c:pt>
                <c:pt idx="14">
                  <c:v>5</c:v>
                </c:pt>
                <c:pt idx="15">
                  <c:v>6</c:v>
                </c:pt>
                <c:pt idx="16">
                  <c:v>7</c:v>
                </c:pt>
                <c:pt idx="17">
                  <c:v>9</c:v>
                </c:pt>
                <c:pt idx="18">
                  <c:v>4</c:v>
                </c:pt>
                <c:pt idx="19">
                  <c:v>7</c:v>
                </c:pt>
                <c:pt idx="20">
                  <c:v>8</c:v>
                </c:pt>
                <c:pt idx="21">
                  <c:v>6</c:v>
                </c:pt>
                <c:pt idx="22">
                  <c:v>7</c:v>
                </c:pt>
                <c:pt idx="23">
                  <c:v>4</c:v>
                </c:pt>
              </c:numCache>
            </c:numRef>
          </c:val>
          <c:smooth val="0"/>
          <c:extLst>
            <c:ext xmlns:c16="http://schemas.microsoft.com/office/drawing/2014/chart" uri="{C3380CC4-5D6E-409C-BE32-E72D297353CC}">
              <c16:uniqueId val="{00000000-CF6B-4FAA-9F7C-0F456FB2CD0D}"/>
            </c:ext>
          </c:extLst>
        </c:ser>
        <c:dLbls>
          <c:dLblPos val="t"/>
          <c:showLegendKey val="0"/>
          <c:showVal val="0"/>
          <c:showCatName val="0"/>
          <c:showSerName val="0"/>
          <c:showPercent val="0"/>
          <c:showBubbleSize val="0"/>
        </c:dLbls>
        <c:marker val="1"/>
        <c:smooth val="0"/>
        <c:axId val="1255161135"/>
        <c:axId val="1255174095"/>
      </c:lineChart>
      <c:catAx>
        <c:axId val="1255161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74095"/>
        <c:crosses val="autoZero"/>
        <c:auto val="1"/>
        <c:lblAlgn val="ctr"/>
        <c:lblOffset val="100"/>
        <c:noMultiLvlLbl val="0"/>
      </c:catAx>
      <c:valAx>
        <c:axId val="1255174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 tickets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6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[Day5.xlsx]Detailed 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Resolution</a:t>
            </a:r>
            <a:r>
              <a:rPr lang="en-US" sz="1600" b="1" baseline="0">
                <a:solidFill>
                  <a:schemeClr val="tx1"/>
                </a:solidFill>
              </a:rPr>
              <a:t> by Category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'Detailed Analysis'!$B$76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'Detailed Analysis'!$A$77:$A$84</c:f>
              <c:strCache>
                <c:ptCount val="7"/>
                <c:pt idx="0">
                  <c:v>Access</c:v>
                </c:pt>
                <c:pt idx="1">
                  <c:v>Billing</c:v>
                </c:pt>
                <c:pt idx="2">
                  <c:v>Hardware</c:v>
                </c:pt>
                <c:pt idx="3">
                  <c:v>Network</c:v>
                </c:pt>
                <c:pt idx="4">
                  <c:v>Other</c:v>
                </c:pt>
                <c:pt idx="5">
                  <c:v>Security</c:v>
                </c:pt>
                <c:pt idx="6">
                  <c:v>Software</c:v>
                </c:pt>
              </c:strCache>
            </c:strRef>
          </c:cat>
          <c:val>
            <c:numRef>
              <c:f>'Detailed Analysis'!$B$77:$B$84</c:f>
              <c:numCache>
                <c:formatCode>0.00</c:formatCode>
                <c:ptCount val="7"/>
                <c:pt idx="0">
                  <c:v>41.6</c:v>
                </c:pt>
                <c:pt idx="1">
                  <c:v>62</c:v>
                </c:pt>
                <c:pt idx="2">
                  <c:v>39</c:v>
                </c:pt>
                <c:pt idx="3">
                  <c:v>48</c:v>
                </c:pt>
                <c:pt idx="4">
                  <c:v>49.333333333333336</c:v>
                </c:pt>
                <c:pt idx="5">
                  <c:v>99.428571428571431</c:v>
                </c:pt>
                <c:pt idx="6">
                  <c:v>57.411764705882355</c:v>
                </c:pt>
              </c:numCache>
            </c:numRef>
          </c:val>
          <c:extLst>
            <c:ext xmlns:c16="http://schemas.microsoft.com/office/drawing/2014/chart" uri="{C3380CC4-5D6E-409C-BE32-E72D297353CC}">
              <c16:uniqueId val="{00000000-7967-4A4B-A0F9-7D7738898F00}"/>
            </c:ext>
          </c:extLst>
        </c:ser>
        <c:dLbls>
          <c:showLegendKey val="0"/>
          <c:showVal val="1"/>
          <c:showCatName val="0"/>
          <c:showSerName val="0"/>
          <c:showPercent val="0"/>
          <c:showBubbleSize val="0"/>
        </c:dLbls>
        <c:gapWidth val="150"/>
        <c:shape val="box"/>
        <c:axId val="1255176495"/>
        <c:axId val="1255182255"/>
        <c:axId val="0"/>
      </c:bar3DChart>
      <c:catAx>
        <c:axId val="1255176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82255"/>
        <c:crosses val="autoZero"/>
        <c:auto val="1"/>
        <c:lblAlgn val="ctr"/>
        <c:lblOffset val="100"/>
        <c:noMultiLvlLbl val="0"/>
      </c:catAx>
      <c:valAx>
        <c:axId val="1255182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resolution time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7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[Day5.xlsx]Detailed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Resolution by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'Detailed Analysis'!$B$96</c:f>
              <c:strCache>
                <c:ptCount val="1"/>
                <c:pt idx="0">
                  <c:v>Total</c:v>
                </c:pt>
              </c:strCache>
            </c:strRef>
          </c:tx>
          <c:spPr>
            <a:solidFill>
              <a:schemeClr val="accent1"/>
            </a:solidFill>
            <a:ln>
              <a:noFill/>
            </a:ln>
            <a:effectLst/>
            <a:sp3d/>
          </c:spPr>
          <c:invertIfNegative val="0"/>
          <c:cat>
            <c:strRef>
              <c:f>'Detailed Analysis'!$A$97:$A$101</c:f>
              <c:strCache>
                <c:ptCount val="4"/>
                <c:pt idx="0">
                  <c:v>Low</c:v>
                </c:pt>
                <c:pt idx="1">
                  <c:v>High</c:v>
                </c:pt>
                <c:pt idx="2">
                  <c:v>Critical</c:v>
                </c:pt>
                <c:pt idx="3">
                  <c:v>Medium</c:v>
                </c:pt>
              </c:strCache>
            </c:strRef>
          </c:cat>
          <c:val>
            <c:numRef>
              <c:f>'Detailed Analysis'!$B$97:$B$101</c:f>
              <c:numCache>
                <c:formatCode>0.00</c:formatCode>
                <c:ptCount val="4"/>
                <c:pt idx="0">
                  <c:v>105.10344827586206</c:v>
                </c:pt>
                <c:pt idx="1">
                  <c:v>6.72</c:v>
                </c:pt>
                <c:pt idx="2">
                  <c:v>6</c:v>
                </c:pt>
                <c:pt idx="3">
                  <c:v>25.904761904761905</c:v>
                </c:pt>
              </c:numCache>
            </c:numRef>
          </c:val>
          <c:extLst>
            <c:ext xmlns:c16="http://schemas.microsoft.com/office/drawing/2014/chart" uri="{C3380CC4-5D6E-409C-BE32-E72D297353CC}">
              <c16:uniqueId val="{00000000-EC54-4162-8F89-E4C1598A9C75}"/>
            </c:ext>
          </c:extLst>
        </c:ser>
        <c:dLbls>
          <c:showLegendKey val="0"/>
          <c:showVal val="0"/>
          <c:showCatName val="0"/>
          <c:showSerName val="0"/>
          <c:showPercent val="0"/>
          <c:showBubbleSize val="0"/>
        </c:dLbls>
        <c:gapWidth val="150"/>
        <c:shape val="box"/>
        <c:axId val="1255188015"/>
        <c:axId val="1255204815"/>
        <c:axId val="0"/>
      </c:bar3DChart>
      <c:catAx>
        <c:axId val="12551880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priority</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04815"/>
        <c:crosses val="autoZero"/>
        <c:auto val="1"/>
        <c:lblAlgn val="ctr"/>
        <c:lblOffset val="100"/>
        <c:noMultiLvlLbl val="0"/>
      </c:catAx>
      <c:valAx>
        <c:axId val="1255204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resolution time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8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[Day5.xlsx]Detailed Analysis!PivotTable6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'Detailed Analysis'!$B$139</c:f>
              <c:strCache>
                <c:ptCount val="1"/>
                <c:pt idx="0">
                  <c:v>Count of ticket_id</c:v>
                </c:pt>
              </c:strCache>
            </c:strRef>
          </c:tx>
          <c:spPr>
            <a:solidFill>
              <a:schemeClr val="accent1"/>
            </a:solidFill>
            <a:ln>
              <a:noFill/>
            </a:ln>
            <a:effectLst/>
          </c:spPr>
          <c:invertIfNegative val="0"/>
          <c:cat>
            <c:strRef>
              <c:f>'Detailed Analysis'!$A$140:$A$150</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'Detailed Analysis'!$B$140:$B$150</c:f>
              <c:numCache>
                <c:formatCode>0</c:formatCode>
                <c:ptCount val="10"/>
                <c:pt idx="0">
                  <c:v>16</c:v>
                </c:pt>
                <c:pt idx="1">
                  <c:v>15</c:v>
                </c:pt>
                <c:pt idx="2">
                  <c:v>17</c:v>
                </c:pt>
                <c:pt idx="3">
                  <c:v>17</c:v>
                </c:pt>
                <c:pt idx="4">
                  <c:v>13</c:v>
                </c:pt>
                <c:pt idx="5">
                  <c:v>8</c:v>
                </c:pt>
                <c:pt idx="6">
                  <c:v>7</c:v>
                </c:pt>
                <c:pt idx="7">
                  <c:v>16</c:v>
                </c:pt>
                <c:pt idx="8">
                  <c:v>27</c:v>
                </c:pt>
                <c:pt idx="9">
                  <c:v>14</c:v>
                </c:pt>
              </c:numCache>
            </c:numRef>
          </c:val>
          <c:extLst>
            <c:ext xmlns:c16="http://schemas.microsoft.com/office/drawing/2014/chart" uri="{C3380CC4-5D6E-409C-BE32-E72D297353CC}">
              <c16:uniqueId val="{00000000-B181-4214-B784-D1DE5D4737E8}"/>
            </c:ext>
          </c:extLst>
        </c:ser>
        <c:ser>
          <c:idx val="1"/>
          <c:order val="1"/>
          <c:tx>
            <c:strRef>
              <c:f>'Detailed Analysis'!$C$139</c:f>
              <c:strCache>
                <c:ptCount val="1"/>
                <c:pt idx="0">
                  <c:v>Average of Resolution_time(hrs)</c:v>
                </c:pt>
              </c:strCache>
            </c:strRef>
          </c:tx>
          <c:spPr>
            <a:solidFill>
              <a:schemeClr val="accent2"/>
            </a:solidFill>
            <a:ln>
              <a:noFill/>
            </a:ln>
            <a:effectLst/>
          </c:spPr>
          <c:invertIfNegative val="0"/>
          <c:cat>
            <c:strRef>
              <c:f>'Detailed Analysis'!$A$140:$A$150</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'Detailed Analysis'!$C$140:$C$150</c:f>
              <c:numCache>
                <c:formatCode>0.00</c:formatCode>
                <c:ptCount val="10"/>
                <c:pt idx="0">
                  <c:v>45</c:v>
                </c:pt>
                <c:pt idx="1">
                  <c:v>83.2</c:v>
                </c:pt>
                <c:pt idx="2">
                  <c:v>73.411764705882348</c:v>
                </c:pt>
                <c:pt idx="3">
                  <c:v>48</c:v>
                </c:pt>
                <c:pt idx="4">
                  <c:v>33.230769230769234</c:v>
                </c:pt>
                <c:pt idx="5">
                  <c:v>66</c:v>
                </c:pt>
                <c:pt idx="6">
                  <c:v>30.857142857142858</c:v>
                </c:pt>
                <c:pt idx="7">
                  <c:v>64.5</c:v>
                </c:pt>
                <c:pt idx="8">
                  <c:v>47.111111111111114</c:v>
                </c:pt>
                <c:pt idx="9">
                  <c:v>29.142857142857142</c:v>
                </c:pt>
              </c:numCache>
            </c:numRef>
          </c:val>
          <c:extLst>
            <c:ext xmlns:c16="http://schemas.microsoft.com/office/drawing/2014/chart" uri="{C3380CC4-5D6E-409C-BE32-E72D297353CC}">
              <c16:uniqueId val="{00000001-B181-4214-B784-D1DE5D4737E8}"/>
            </c:ext>
          </c:extLst>
        </c:ser>
        <c:dLbls>
          <c:dLblPos val="outEnd"/>
          <c:showLegendKey val="0"/>
          <c:showVal val="0"/>
          <c:showCatName val="0"/>
          <c:showSerName val="0"/>
          <c:showPercent val="0"/>
          <c:showBubbleSize val="0"/>
        </c:dLbls>
        <c:gapWidth val="219"/>
        <c:overlap val="-27"/>
        <c:axId val="1255215855"/>
        <c:axId val="1255212975"/>
      </c:barChart>
      <c:catAx>
        <c:axId val="1255215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Assigned analyst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12975"/>
        <c:crosses val="autoZero"/>
        <c:auto val="1"/>
        <c:lblAlgn val="ctr"/>
        <c:lblOffset val="100"/>
        <c:noMultiLvlLbl val="0"/>
      </c:catAx>
      <c:valAx>
        <c:axId val="1255212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Ticket</a:t>
                </a:r>
                <a:r>
                  <a:rPr lang="en-IN" baseline="0"/>
                  <a:t> count &amp; Resolution time</a:t>
                </a:r>
              </a:p>
              <a:p>
                <a:pPr>
                  <a:defRPr/>
                </a:pPr>
                <a:endParaRPr lang="en-IN"/>
              </a:p>
            </c:rich>
          </c:tx>
          <c:layout>
            <c:manualLayout>
              <c:xMode val="edge"/>
              <c:yMode val="edge"/>
              <c:x val="1.0085727091978337E-2"/>
              <c:y val="0.160662539676972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1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[Day5.xlsx]Detailed 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effectLst/>
              </a:rPr>
              <a:t>Tickets by Day of Week </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'Detailed Analysis'!$A$4:$A$11</c:f>
              <c:strCache>
                <c:ptCount val="7"/>
                <c:pt idx="0">
                  <c:v>Mon</c:v>
                </c:pt>
                <c:pt idx="1">
                  <c:v>Tue</c:v>
                </c:pt>
                <c:pt idx="2">
                  <c:v>Wed</c:v>
                </c:pt>
                <c:pt idx="3">
                  <c:v>Thu</c:v>
                </c:pt>
                <c:pt idx="4">
                  <c:v>Fri</c:v>
                </c:pt>
                <c:pt idx="5">
                  <c:v>Sat</c:v>
                </c:pt>
                <c:pt idx="6">
                  <c:v>Sun</c:v>
                </c:pt>
              </c:strCache>
            </c:strRef>
          </c:cat>
          <c:val>
            <c:numRef>
              <c:f>'Detailed Analysis'!$B$4:$B$11</c:f>
              <c:numCache>
                <c:formatCode>General</c:formatCode>
                <c:ptCount val="7"/>
                <c:pt idx="0">
                  <c:v>19</c:v>
                </c:pt>
                <c:pt idx="1">
                  <c:v>22</c:v>
                </c:pt>
                <c:pt idx="2">
                  <c:v>24</c:v>
                </c:pt>
                <c:pt idx="3">
                  <c:v>23</c:v>
                </c:pt>
                <c:pt idx="4">
                  <c:v>16</c:v>
                </c:pt>
                <c:pt idx="5">
                  <c:v>20</c:v>
                </c:pt>
                <c:pt idx="6">
                  <c:v>26</c:v>
                </c:pt>
              </c:numCache>
            </c:numRef>
          </c:val>
          <c:smooth val="0"/>
          <c:extLst>
            <c:ext xmlns:c16="http://schemas.microsoft.com/office/drawing/2014/chart" uri="{C3380CC4-5D6E-409C-BE32-E72D297353CC}">
              <c16:uniqueId val="{00000000-DC51-4056-8FC6-CC50A1C7F458}"/>
            </c:ext>
          </c:extLst>
        </c:ser>
        <c:dLbls>
          <c:showLegendKey val="0"/>
          <c:showVal val="0"/>
          <c:showCatName val="0"/>
          <c:showSerName val="0"/>
          <c:showPercent val="0"/>
          <c:showBubbleSize val="0"/>
        </c:dLbls>
        <c:marker val="1"/>
        <c:smooth val="0"/>
        <c:axId val="1355820831"/>
        <c:axId val="1355821311"/>
      </c:lineChart>
      <c:catAx>
        <c:axId val="1355820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21311"/>
        <c:crosses val="autoZero"/>
        <c:auto val="1"/>
        <c:lblAlgn val="ctr"/>
        <c:lblOffset val="100"/>
        <c:noMultiLvlLbl val="0"/>
      </c:catAx>
      <c:valAx>
        <c:axId val="1355821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 tickets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2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[Day5.xlsx]Detailed 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Tickets</a:t>
            </a:r>
            <a:r>
              <a:rPr lang="en-US" sz="1600" b="1" baseline="0">
                <a:solidFill>
                  <a:schemeClr val="tx1"/>
                </a:solidFill>
              </a:rPr>
              <a:t> by Day of Month</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Analysis'!$B$24</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'Detailed Analysis'!$A$25:$A$29</c:f>
              <c:strCache>
                <c:ptCount val="4"/>
                <c:pt idx="0">
                  <c:v>Jun</c:v>
                </c:pt>
                <c:pt idx="1">
                  <c:v>Jul</c:v>
                </c:pt>
                <c:pt idx="2">
                  <c:v>Aug</c:v>
                </c:pt>
                <c:pt idx="3">
                  <c:v>Sep</c:v>
                </c:pt>
              </c:strCache>
            </c:strRef>
          </c:cat>
          <c:val>
            <c:numRef>
              <c:f>'Detailed Analysis'!$B$25:$B$29</c:f>
              <c:numCache>
                <c:formatCode>General</c:formatCode>
                <c:ptCount val="4"/>
                <c:pt idx="0">
                  <c:v>27</c:v>
                </c:pt>
                <c:pt idx="1">
                  <c:v>51</c:v>
                </c:pt>
                <c:pt idx="2">
                  <c:v>45</c:v>
                </c:pt>
                <c:pt idx="3">
                  <c:v>27</c:v>
                </c:pt>
              </c:numCache>
            </c:numRef>
          </c:val>
          <c:smooth val="0"/>
          <c:extLst>
            <c:ext xmlns:c16="http://schemas.microsoft.com/office/drawing/2014/chart" uri="{C3380CC4-5D6E-409C-BE32-E72D297353CC}">
              <c16:uniqueId val="{00000000-B542-4E9B-A62F-786AD13C62C0}"/>
            </c:ext>
          </c:extLst>
        </c:ser>
        <c:dLbls>
          <c:dLblPos val="t"/>
          <c:showLegendKey val="0"/>
          <c:showVal val="1"/>
          <c:showCatName val="0"/>
          <c:showSerName val="0"/>
          <c:showPercent val="0"/>
          <c:showBubbleSize val="0"/>
        </c:dLbls>
        <c:marker val="1"/>
        <c:smooth val="0"/>
        <c:axId val="1355837631"/>
        <c:axId val="1355838111"/>
      </c:lineChart>
      <c:catAx>
        <c:axId val="135583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38111"/>
        <c:crosses val="autoZero"/>
        <c:auto val="1"/>
        <c:lblAlgn val="ctr"/>
        <c:lblOffset val="100"/>
        <c:noMultiLvlLbl val="0"/>
      </c:catAx>
      <c:valAx>
        <c:axId val="1355838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a:t>
                </a:r>
                <a:r>
                  <a:rPr lang="en-IN" baseline="0"/>
                  <a:t> tickets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3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[Day5.xlsx]Detailed 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Tickets</a:t>
            </a:r>
            <a:r>
              <a:rPr lang="en-US" sz="1600" b="1" baseline="0">
                <a:solidFill>
                  <a:schemeClr val="tx1"/>
                </a:solidFill>
              </a:rPr>
              <a:t> by Hours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Analysis'!$B$38</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'Detailed Analysis'!$A$39:$A$63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'Detailed Analysis'!$B$39:$B$63</c:f>
              <c:numCache>
                <c:formatCode>General</c:formatCode>
                <c:ptCount val="24"/>
                <c:pt idx="0">
                  <c:v>9</c:v>
                </c:pt>
                <c:pt idx="1">
                  <c:v>6</c:v>
                </c:pt>
                <c:pt idx="2">
                  <c:v>4</c:v>
                </c:pt>
                <c:pt idx="3">
                  <c:v>6</c:v>
                </c:pt>
                <c:pt idx="4">
                  <c:v>3</c:v>
                </c:pt>
                <c:pt idx="5">
                  <c:v>6</c:v>
                </c:pt>
                <c:pt idx="6">
                  <c:v>9</c:v>
                </c:pt>
                <c:pt idx="7">
                  <c:v>6</c:v>
                </c:pt>
                <c:pt idx="8">
                  <c:v>5</c:v>
                </c:pt>
                <c:pt idx="9">
                  <c:v>6</c:v>
                </c:pt>
                <c:pt idx="10">
                  <c:v>6</c:v>
                </c:pt>
                <c:pt idx="11">
                  <c:v>7</c:v>
                </c:pt>
                <c:pt idx="12">
                  <c:v>7</c:v>
                </c:pt>
                <c:pt idx="13">
                  <c:v>7</c:v>
                </c:pt>
                <c:pt idx="14">
                  <c:v>5</c:v>
                </c:pt>
                <c:pt idx="15">
                  <c:v>6</c:v>
                </c:pt>
                <c:pt idx="16">
                  <c:v>7</c:v>
                </c:pt>
                <c:pt idx="17">
                  <c:v>9</c:v>
                </c:pt>
                <c:pt idx="18">
                  <c:v>4</c:v>
                </c:pt>
                <c:pt idx="19">
                  <c:v>7</c:v>
                </c:pt>
                <c:pt idx="20">
                  <c:v>8</c:v>
                </c:pt>
                <c:pt idx="21">
                  <c:v>6</c:v>
                </c:pt>
                <c:pt idx="22">
                  <c:v>7</c:v>
                </c:pt>
                <c:pt idx="23">
                  <c:v>4</c:v>
                </c:pt>
              </c:numCache>
            </c:numRef>
          </c:val>
          <c:smooth val="0"/>
          <c:extLst>
            <c:ext xmlns:c16="http://schemas.microsoft.com/office/drawing/2014/chart" uri="{C3380CC4-5D6E-409C-BE32-E72D297353CC}">
              <c16:uniqueId val="{00000000-9C1B-453F-95EC-02712BE47F2C}"/>
            </c:ext>
          </c:extLst>
        </c:ser>
        <c:dLbls>
          <c:showLegendKey val="0"/>
          <c:showVal val="0"/>
          <c:showCatName val="0"/>
          <c:showSerName val="0"/>
          <c:showPercent val="0"/>
          <c:showBubbleSize val="0"/>
        </c:dLbls>
        <c:marker val="1"/>
        <c:smooth val="0"/>
        <c:axId val="1255161135"/>
        <c:axId val="1255174095"/>
      </c:lineChart>
      <c:catAx>
        <c:axId val="1255161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74095"/>
        <c:crosses val="autoZero"/>
        <c:auto val="1"/>
        <c:lblAlgn val="ctr"/>
        <c:lblOffset val="100"/>
        <c:noMultiLvlLbl val="0"/>
      </c:catAx>
      <c:valAx>
        <c:axId val="1255174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 tickets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6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[Day5.xlsx]Detailed Analysis!PivotTable4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Resolution</a:t>
            </a:r>
            <a:r>
              <a:rPr lang="en-US" sz="1600" b="1" baseline="0">
                <a:solidFill>
                  <a:schemeClr val="tx1"/>
                </a:solidFill>
              </a:rPr>
              <a:t> by Category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'Detailed Analysis'!$B$76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'Detailed Analysis'!$A$77:$A$84</c:f>
              <c:strCache>
                <c:ptCount val="7"/>
                <c:pt idx="0">
                  <c:v>Access</c:v>
                </c:pt>
                <c:pt idx="1">
                  <c:v>Billing</c:v>
                </c:pt>
                <c:pt idx="2">
                  <c:v>Hardware</c:v>
                </c:pt>
                <c:pt idx="3">
                  <c:v>Network</c:v>
                </c:pt>
                <c:pt idx="4">
                  <c:v>Other</c:v>
                </c:pt>
                <c:pt idx="5">
                  <c:v>Security</c:v>
                </c:pt>
                <c:pt idx="6">
                  <c:v>Software</c:v>
                </c:pt>
              </c:strCache>
            </c:strRef>
          </c:cat>
          <c:val>
            <c:numRef>
              <c:f>'Detailed Analysis'!$B$77:$B$84</c:f>
              <c:numCache>
                <c:formatCode>0.00</c:formatCode>
                <c:ptCount val="7"/>
                <c:pt idx="0">
                  <c:v>41.6</c:v>
                </c:pt>
                <c:pt idx="1">
                  <c:v>62</c:v>
                </c:pt>
                <c:pt idx="2">
                  <c:v>39</c:v>
                </c:pt>
                <c:pt idx="3">
                  <c:v>48</c:v>
                </c:pt>
                <c:pt idx="4">
                  <c:v>49.333333333333336</c:v>
                </c:pt>
                <c:pt idx="5">
                  <c:v>99.428571428571431</c:v>
                </c:pt>
                <c:pt idx="6">
                  <c:v>57.411764705882355</c:v>
                </c:pt>
              </c:numCache>
            </c:numRef>
          </c:val>
          <c:extLst>
            <c:ext xmlns:c16="http://schemas.microsoft.com/office/drawing/2014/chart" uri="{C3380CC4-5D6E-409C-BE32-E72D297353CC}">
              <c16:uniqueId val="{00000000-85BD-4477-8E84-0148B007F17F}"/>
            </c:ext>
          </c:extLst>
        </c:ser>
        <c:dLbls>
          <c:showLegendKey val="0"/>
          <c:showVal val="1"/>
          <c:showCatName val="0"/>
          <c:showSerName val="0"/>
          <c:showPercent val="0"/>
          <c:showBubbleSize val="0"/>
        </c:dLbls>
        <c:gapWidth val="150"/>
        <c:shape val="box"/>
        <c:axId val="1255176495"/>
        <c:axId val="1255182255"/>
        <c:axId val="0"/>
      </c:bar3DChart>
      <c:catAx>
        <c:axId val="1255176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82255"/>
        <c:crosses val="autoZero"/>
        <c:auto val="1"/>
        <c:lblAlgn val="ctr"/>
        <c:lblOffset val="100"/>
        <c:noMultiLvlLbl val="0"/>
      </c:catAx>
      <c:valAx>
        <c:axId val="1255182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resolution time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7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[Day5.xlsx]Detailed 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Resolution by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'Detailed Analysis'!$B$96</c:f>
              <c:strCache>
                <c:ptCount val="1"/>
                <c:pt idx="0">
                  <c:v>Total</c:v>
                </c:pt>
              </c:strCache>
            </c:strRef>
          </c:tx>
          <c:spPr>
            <a:solidFill>
              <a:schemeClr val="accent1"/>
            </a:solidFill>
            <a:ln>
              <a:noFill/>
            </a:ln>
            <a:effectLst/>
            <a:sp3d/>
          </c:spPr>
          <c:invertIfNegative val="0"/>
          <c:cat>
            <c:strRef>
              <c:f>'Detailed Analysis'!$A$97:$A$101</c:f>
              <c:strCache>
                <c:ptCount val="4"/>
                <c:pt idx="0">
                  <c:v>Low</c:v>
                </c:pt>
                <c:pt idx="1">
                  <c:v>High</c:v>
                </c:pt>
                <c:pt idx="2">
                  <c:v>Critical</c:v>
                </c:pt>
                <c:pt idx="3">
                  <c:v>Medium</c:v>
                </c:pt>
              </c:strCache>
            </c:strRef>
          </c:cat>
          <c:val>
            <c:numRef>
              <c:f>'Detailed Analysis'!$B$97:$B$101</c:f>
              <c:numCache>
                <c:formatCode>0.00</c:formatCode>
                <c:ptCount val="4"/>
                <c:pt idx="0">
                  <c:v>105.10344827586206</c:v>
                </c:pt>
                <c:pt idx="1">
                  <c:v>6.72</c:v>
                </c:pt>
                <c:pt idx="2">
                  <c:v>6</c:v>
                </c:pt>
                <c:pt idx="3">
                  <c:v>25.904761904761905</c:v>
                </c:pt>
              </c:numCache>
            </c:numRef>
          </c:val>
          <c:extLst>
            <c:ext xmlns:c16="http://schemas.microsoft.com/office/drawing/2014/chart" uri="{C3380CC4-5D6E-409C-BE32-E72D297353CC}">
              <c16:uniqueId val="{00000000-B3E2-43C5-85FC-D49D9CE22911}"/>
            </c:ext>
          </c:extLst>
        </c:ser>
        <c:dLbls>
          <c:showLegendKey val="0"/>
          <c:showVal val="0"/>
          <c:showCatName val="0"/>
          <c:showSerName val="0"/>
          <c:showPercent val="0"/>
          <c:showBubbleSize val="0"/>
        </c:dLbls>
        <c:gapWidth val="150"/>
        <c:shape val="box"/>
        <c:axId val="1255188015"/>
        <c:axId val="1255204815"/>
        <c:axId val="0"/>
      </c:bar3DChart>
      <c:catAx>
        <c:axId val="12551880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priority</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04815"/>
        <c:crosses val="autoZero"/>
        <c:auto val="1"/>
        <c:lblAlgn val="ctr"/>
        <c:lblOffset val="100"/>
        <c:noMultiLvlLbl val="0"/>
      </c:catAx>
      <c:valAx>
        <c:axId val="1255204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resolution time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8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[Day5.xlsx]Detailed Analysis!PivotTable6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'Detailed Analysis'!$B$139</c:f>
              <c:strCache>
                <c:ptCount val="1"/>
                <c:pt idx="0">
                  <c:v>Count of ticket_id</c:v>
                </c:pt>
              </c:strCache>
            </c:strRef>
          </c:tx>
          <c:spPr>
            <a:solidFill>
              <a:schemeClr val="accent1"/>
            </a:solidFill>
            <a:ln>
              <a:noFill/>
            </a:ln>
            <a:effectLst/>
          </c:spPr>
          <c:invertIfNegative val="0"/>
          <c:cat>
            <c:strRef>
              <c:f>'Detailed Analysis'!$A$140:$A$150</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'Detailed Analysis'!$B$140:$B$150</c:f>
              <c:numCache>
                <c:formatCode>0</c:formatCode>
                <c:ptCount val="10"/>
                <c:pt idx="0">
                  <c:v>16</c:v>
                </c:pt>
                <c:pt idx="1">
                  <c:v>15</c:v>
                </c:pt>
                <c:pt idx="2">
                  <c:v>17</c:v>
                </c:pt>
                <c:pt idx="3">
                  <c:v>17</c:v>
                </c:pt>
                <c:pt idx="4">
                  <c:v>13</c:v>
                </c:pt>
                <c:pt idx="5">
                  <c:v>8</c:v>
                </c:pt>
                <c:pt idx="6">
                  <c:v>7</c:v>
                </c:pt>
                <c:pt idx="7">
                  <c:v>16</c:v>
                </c:pt>
                <c:pt idx="8">
                  <c:v>27</c:v>
                </c:pt>
                <c:pt idx="9">
                  <c:v>14</c:v>
                </c:pt>
              </c:numCache>
            </c:numRef>
          </c:val>
          <c:extLst>
            <c:ext xmlns:c16="http://schemas.microsoft.com/office/drawing/2014/chart" uri="{C3380CC4-5D6E-409C-BE32-E72D297353CC}">
              <c16:uniqueId val="{00000000-917E-46AE-A168-07108F6A72AE}"/>
            </c:ext>
          </c:extLst>
        </c:ser>
        <c:ser>
          <c:idx val="1"/>
          <c:order val="1"/>
          <c:tx>
            <c:strRef>
              <c:f>'Detailed Analysis'!$C$139</c:f>
              <c:strCache>
                <c:ptCount val="1"/>
                <c:pt idx="0">
                  <c:v>Average of Resolution_time(hrs)</c:v>
                </c:pt>
              </c:strCache>
            </c:strRef>
          </c:tx>
          <c:spPr>
            <a:solidFill>
              <a:schemeClr val="accent2"/>
            </a:solidFill>
            <a:ln>
              <a:noFill/>
            </a:ln>
            <a:effectLst/>
          </c:spPr>
          <c:invertIfNegative val="0"/>
          <c:cat>
            <c:strRef>
              <c:f>'Detailed Analysis'!$A$140:$A$150</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'Detailed Analysis'!$C$140:$C$150</c:f>
              <c:numCache>
                <c:formatCode>0.00</c:formatCode>
                <c:ptCount val="10"/>
                <c:pt idx="0">
                  <c:v>45</c:v>
                </c:pt>
                <c:pt idx="1">
                  <c:v>83.2</c:v>
                </c:pt>
                <c:pt idx="2">
                  <c:v>73.411764705882348</c:v>
                </c:pt>
                <c:pt idx="3">
                  <c:v>48</c:v>
                </c:pt>
                <c:pt idx="4">
                  <c:v>33.230769230769234</c:v>
                </c:pt>
                <c:pt idx="5">
                  <c:v>66</c:v>
                </c:pt>
                <c:pt idx="6">
                  <c:v>30.857142857142858</c:v>
                </c:pt>
                <c:pt idx="7">
                  <c:v>64.5</c:v>
                </c:pt>
                <c:pt idx="8">
                  <c:v>47.111111111111114</c:v>
                </c:pt>
                <c:pt idx="9">
                  <c:v>29.142857142857142</c:v>
                </c:pt>
              </c:numCache>
            </c:numRef>
          </c:val>
          <c:extLst>
            <c:ext xmlns:c16="http://schemas.microsoft.com/office/drawing/2014/chart" uri="{C3380CC4-5D6E-409C-BE32-E72D297353CC}">
              <c16:uniqueId val="{00000001-917E-46AE-A168-07108F6A72AE}"/>
            </c:ext>
          </c:extLst>
        </c:ser>
        <c:dLbls>
          <c:showLegendKey val="0"/>
          <c:showVal val="0"/>
          <c:showCatName val="0"/>
          <c:showSerName val="0"/>
          <c:showPercent val="0"/>
          <c:showBubbleSize val="0"/>
        </c:dLbls>
        <c:gapWidth val="219"/>
        <c:overlap val="-27"/>
        <c:axId val="1255215855"/>
        <c:axId val="1255212975"/>
      </c:barChart>
      <c:catAx>
        <c:axId val="1255215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Assigned analyst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12975"/>
        <c:crosses val="autoZero"/>
        <c:auto val="1"/>
        <c:lblAlgn val="ctr"/>
        <c:lblOffset val="100"/>
        <c:noMultiLvlLbl val="0"/>
      </c:catAx>
      <c:valAx>
        <c:axId val="1255212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Ticket</a:t>
                </a:r>
                <a:r>
                  <a:rPr lang="en-IN" baseline="0"/>
                  <a:t> count &amp; Resolution time</a:t>
                </a:r>
              </a:p>
              <a:p>
                <a:pPr>
                  <a:defRPr/>
                </a:pPr>
                <a:endParaRPr lang="en-IN"/>
              </a:p>
            </c:rich>
          </c:tx>
          <c:layout>
            <c:manualLayout>
              <c:xMode val="edge"/>
              <c:yMode val="edge"/>
              <c:x val="1.0085727091978337E-2"/>
              <c:y val="0.160662539676972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1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955674</xdr:colOff>
      <xdr:row>1</xdr:row>
      <xdr:rowOff>127000</xdr:rowOff>
    </xdr:from>
    <xdr:to>
      <xdr:col>7</xdr:col>
      <xdr:colOff>368299</xdr:colOff>
      <xdr:row>16</xdr:row>
      <xdr:rowOff>25400</xdr:rowOff>
    </xdr:to>
    <xdr:graphicFrame macro="">
      <xdr:nvGraphicFramePr>
        <xdr:cNvPr id="2" name="Chart 1">
          <a:extLst>
            <a:ext uri="{FF2B5EF4-FFF2-40B4-BE49-F238E27FC236}">
              <a16:creationId xmlns:a16="http://schemas.microsoft.com/office/drawing/2014/main" id="{AED28FFD-33FD-5AB1-53E6-BDFEF5CD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987425</xdr:colOff>
      <xdr:row>20</xdr:row>
      <xdr:rowOff>12700</xdr:rowOff>
    </xdr:from>
    <xdr:to>
      <xdr:col>7</xdr:col>
      <xdr:colOff>384175</xdr:colOff>
      <xdr:row>33</xdr:row>
      <xdr:rowOff>152400</xdr:rowOff>
    </xdr:to>
    <xdr:graphicFrame macro="">
      <xdr:nvGraphicFramePr>
        <xdr:cNvPr id="3" name="Chart 2">
          <a:extLst>
            <a:ext uri="{FF2B5EF4-FFF2-40B4-BE49-F238E27FC236}">
              <a16:creationId xmlns:a16="http://schemas.microsoft.com/office/drawing/2014/main" id="{B9D3047C-109E-09D5-E260-329FB421A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600075</xdr:colOff>
      <xdr:row>37</xdr:row>
      <xdr:rowOff>57150</xdr:rowOff>
    </xdr:from>
    <xdr:to>
      <xdr:col>8</xdr:col>
      <xdr:colOff>628651</xdr:colOff>
      <xdr:row>55</xdr:row>
      <xdr:rowOff>107950</xdr:rowOff>
    </xdr:to>
    <xdr:graphicFrame macro="">
      <xdr:nvGraphicFramePr>
        <xdr:cNvPr id="4" name="Chart 3">
          <a:extLst>
            <a:ext uri="{FF2B5EF4-FFF2-40B4-BE49-F238E27FC236}">
              <a16:creationId xmlns:a16="http://schemas.microsoft.com/office/drawing/2014/main" id="{505280F1-16DA-88E5-DA41-04ECB6874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6350</xdr:colOff>
      <xdr:row>75</xdr:row>
      <xdr:rowOff>0</xdr:rowOff>
    </xdr:from>
    <xdr:to>
      <xdr:col>11</xdr:col>
      <xdr:colOff>295276</xdr:colOff>
      <xdr:row>91</xdr:row>
      <xdr:rowOff>50800</xdr:rowOff>
    </xdr:to>
    <xdr:graphicFrame macro="">
      <xdr:nvGraphicFramePr>
        <xdr:cNvPr id="6" name="Chart 5">
          <a:extLst>
            <a:ext uri="{FF2B5EF4-FFF2-40B4-BE49-F238E27FC236}">
              <a16:creationId xmlns:a16="http://schemas.microsoft.com/office/drawing/2014/main" id="{205E5564-1821-4F96-B406-F9D169787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1952624</xdr:colOff>
      <xdr:row>93</xdr:row>
      <xdr:rowOff>12700</xdr:rowOff>
    </xdr:from>
    <xdr:to>
      <xdr:col>11</xdr:col>
      <xdr:colOff>368299</xdr:colOff>
      <xdr:row>107</xdr:row>
      <xdr:rowOff>120650</xdr:rowOff>
    </xdr:to>
    <xdr:graphicFrame macro="">
      <xdr:nvGraphicFramePr>
        <xdr:cNvPr id="7" name="Chart 6">
          <a:extLst>
            <a:ext uri="{FF2B5EF4-FFF2-40B4-BE49-F238E27FC236}">
              <a16:creationId xmlns:a16="http://schemas.microsoft.com/office/drawing/2014/main" id="{D8D1F091-20CC-43F7-1C7B-10558F123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454024</xdr:colOff>
      <xdr:row>138</xdr:row>
      <xdr:rowOff>12700</xdr:rowOff>
    </xdr:from>
    <xdr:to>
      <xdr:col>12</xdr:col>
      <xdr:colOff>158750</xdr:colOff>
      <xdr:row>153</xdr:row>
      <xdr:rowOff>50800</xdr:rowOff>
    </xdr:to>
    <xdr:graphicFrame macro="">
      <xdr:nvGraphicFramePr>
        <xdr:cNvPr id="8" name="Chart 7">
          <a:extLst>
            <a:ext uri="{FF2B5EF4-FFF2-40B4-BE49-F238E27FC236}">
              <a16:creationId xmlns:a16="http://schemas.microsoft.com/office/drawing/2014/main" id="{3AF984A5-FD9F-44C9-6E25-4C3AD0884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622300</xdr:colOff>
      <xdr:row>138</xdr:row>
      <xdr:rowOff>107950</xdr:rowOff>
    </xdr:from>
    <xdr:to>
      <xdr:col>14</xdr:col>
      <xdr:colOff>425450</xdr:colOff>
      <xdr:row>155</xdr:row>
      <xdr:rowOff>165100</xdr:rowOff>
    </xdr:to>
    <mc:AlternateContent xmlns:mc="http://schemas.openxmlformats.org/markup-compatibility/2006">
      <mc:Choice xmlns:a14="http://schemas.microsoft.com/office/drawing/2010/main" Requires="a14">
        <xdr:graphicFrame macro="">
          <xdr:nvGraphicFramePr>
            <xdr:cNvPr id="9" name="assigned_analyst">
              <a:extLst>
                <a:ext uri="{FF2B5EF4-FFF2-40B4-BE49-F238E27FC236}">
                  <a16:creationId xmlns:a16="http://schemas.microsoft.com/office/drawing/2014/main" id="{ACD037E5-B30E-AE63-DE17-FB6B45A56ED5}"/>
                </a:ext>
              </a:extLst>
            </xdr:cNvPr>
            <xdr:cNvGraphicFramePr/>
          </xdr:nvGraphicFramePr>
          <xdr:xfrm>
            <a:off x="0" y="0"/>
            <a:ext cx="0" cy="0"/>
          </xdr:xfrm>
          <a:graphic>
            <a:graphicData uri="http://schemas.microsoft.com/office/drawing/2010/slicer">
              <sle:slicer xmlns:sle="http://schemas.microsoft.com/office/drawing/2010/slicer" name="assigned_analyst"/>
            </a:graphicData>
          </a:graphic>
        </xdr:graphicFrame>
      </mc:Choice>
      <mc:Fallback>
        <xdr:sp macro="" textlink="">
          <xdr:nvSpPr>
            <xdr:cNvPr id="0" name=""/>
            <xdr:cNvSpPr>
              <a:spLocks noTextEdit="1"/>
            </xdr:cNvSpPr>
          </xdr:nvSpPr>
          <xdr:spPr>
            <a:xfrm>
              <a:off x="11963400" y="25634950"/>
              <a:ext cx="1828800" cy="318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184150</xdr:colOff>
      <xdr:row>93</xdr:row>
      <xdr:rowOff>107951</xdr:rowOff>
    </xdr:from>
    <xdr:to>
      <xdr:col>13</xdr:col>
      <xdr:colOff>895350</xdr:colOff>
      <xdr:row>102</xdr:row>
      <xdr:rowOff>63501</xdr:rowOff>
    </xdr:to>
    <mc:AlternateContent xmlns:mc="http://schemas.openxmlformats.org/markup-compatibility/2006">
      <mc:Choice xmlns:a14="http://schemas.microsoft.com/office/drawing/2010/main" Requires="a14">
        <xdr:graphicFrame macro="">
          <xdr:nvGraphicFramePr>
            <xdr:cNvPr id="10" name="priority">
              <a:extLst>
                <a:ext uri="{FF2B5EF4-FFF2-40B4-BE49-F238E27FC236}">
                  <a16:creationId xmlns:a16="http://schemas.microsoft.com/office/drawing/2014/main" id="{721DD47E-878B-322B-AD14-3F34C84268B6}"/>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11525250" y="17233901"/>
              <a:ext cx="1828800" cy="1612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203200</xdr:colOff>
      <xdr:row>76</xdr:row>
      <xdr:rowOff>171451</xdr:rowOff>
    </xdr:from>
    <xdr:to>
      <xdr:col>14</xdr:col>
      <xdr:colOff>6350</xdr:colOff>
      <xdr:row>89</xdr:row>
      <xdr:rowOff>158751</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D931336F-0891-E86F-480C-2726A810C54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544300" y="14166851"/>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184150</xdr:colOff>
      <xdr:row>22</xdr:row>
      <xdr:rowOff>120651</xdr:rowOff>
    </xdr:from>
    <xdr:to>
      <xdr:col>10</xdr:col>
      <xdr:colOff>609600</xdr:colOff>
      <xdr:row>30</xdr:row>
      <xdr:rowOff>171451</xdr:rowOff>
    </xdr:to>
    <mc:AlternateContent xmlns:mc="http://schemas.openxmlformats.org/markup-compatibility/2006">
      <mc:Choice xmlns:a14="http://schemas.microsoft.com/office/drawing/2010/main" Requires="a14">
        <xdr:graphicFrame macro="">
          <xdr:nvGraphicFramePr>
            <xdr:cNvPr id="12" name="Day_Month">
              <a:extLst>
                <a:ext uri="{FF2B5EF4-FFF2-40B4-BE49-F238E27FC236}">
                  <a16:creationId xmlns:a16="http://schemas.microsoft.com/office/drawing/2014/main" id="{6D944BD5-70AD-5417-D9D2-F0DBFEDCC255}"/>
                </a:ext>
              </a:extLst>
            </xdr:cNvPr>
            <xdr:cNvGraphicFramePr/>
          </xdr:nvGraphicFramePr>
          <xdr:xfrm>
            <a:off x="0" y="0"/>
            <a:ext cx="0" cy="0"/>
          </xdr:xfrm>
          <a:graphic>
            <a:graphicData uri="http://schemas.microsoft.com/office/drawing/2010/slicer">
              <sle:slicer xmlns:sle="http://schemas.microsoft.com/office/drawing/2010/slicer" name="Day_Month"/>
            </a:graphicData>
          </a:graphic>
        </xdr:graphicFrame>
      </mc:Choice>
      <mc:Fallback>
        <xdr:sp macro="" textlink="">
          <xdr:nvSpPr>
            <xdr:cNvPr id="0" name=""/>
            <xdr:cNvSpPr>
              <a:spLocks noTextEdit="1"/>
            </xdr:cNvSpPr>
          </xdr:nvSpPr>
          <xdr:spPr>
            <a:xfrm>
              <a:off x="8705850" y="417195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330200</xdr:colOff>
      <xdr:row>0</xdr:row>
      <xdr:rowOff>82550</xdr:rowOff>
    </xdr:from>
    <xdr:to>
      <xdr:col>19</xdr:col>
      <xdr:colOff>254000</xdr:colOff>
      <xdr:row>60</xdr:row>
      <xdr:rowOff>165100</xdr:rowOff>
    </xdr:to>
    <xdr:sp macro="" textlink="">
      <xdr:nvSpPr>
        <xdr:cNvPr id="3" name="Rectangle: Rounded Corners 2">
          <a:extLst>
            <a:ext uri="{FF2B5EF4-FFF2-40B4-BE49-F238E27FC236}">
              <a16:creationId xmlns:a16="http://schemas.microsoft.com/office/drawing/2014/main" id="{9191D0D0-07D5-979A-CF1D-7F145DFE2E24}"/>
            </a:ext>
          </a:extLst>
        </xdr:cNvPr>
        <xdr:cNvSpPr/>
      </xdr:nvSpPr>
      <xdr:spPr>
        <a:xfrm>
          <a:off x="330200" y="82550"/>
          <a:ext cx="11506200" cy="11131550"/>
        </a:xfrm>
        <a:prstGeom prst="roundRect">
          <a:avLst>
            <a:gd name="adj" fmla="val 4472"/>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146050</xdr:colOff>
      <xdr:row>0</xdr:row>
      <xdr:rowOff>127000</xdr:rowOff>
    </xdr:from>
    <xdr:to>
      <xdr:col>16</xdr:col>
      <xdr:colOff>330200</xdr:colOff>
      <xdr:row>5</xdr:row>
      <xdr:rowOff>25400</xdr:rowOff>
    </xdr:to>
    <xdr:sp macro="" textlink="">
      <xdr:nvSpPr>
        <xdr:cNvPr id="4" name="Oval 3">
          <a:extLst>
            <a:ext uri="{FF2B5EF4-FFF2-40B4-BE49-F238E27FC236}">
              <a16:creationId xmlns:a16="http://schemas.microsoft.com/office/drawing/2014/main" id="{2C655D5C-2E7E-FFF0-762E-C6F49708E2E3}"/>
            </a:ext>
          </a:extLst>
        </xdr:cNvPr>
        <xdr:cNvSpPr/>
      </xdr:nvSpPr>
      <xdr:spPr>
        <a:xfrm>
          <a:off x="2584450" y="127000"/>
          <a:ext cx="7499350" cy="819150"/>
        </a:xfrm>
        <a:prstGeom prst="ellips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IT Help Desk Ticket Analysis Dashboard</a:t>
          </a:r>
        </a:p>
      </xdr:txBody>
    </xdr:sp>
    <xdr:clientData/>
  </xdr:twoCellAnchor>
  <xdr:twoCellAnchor>
    <xdr:from>
      <xdr:col>5</xdr:col>
      <xdr:colOff>42863</xdr:colOff>
      <xdr:row>5</xdr:row>
      <xdr:rowOff>177800</xdr:rowOff>
    </xdr:from>
    <xdr:to>
      <xdr:col>8</xdr:col>
      <xdr:colOff>68263</xdr:colOff>
      <xdr:row>10</xdr:row>
      <xdr:rowOff>107950</xdr:rowOff>
    </xdr:to>
    <xdr:sp macro="" textlink="">
      <xdr:nvSpPr>
        <xdr:cNvPr id="5" name="Rectangle: Rounded Corners 4">
          <a:extLst>
            <a:ext uri="{FF2B5EF4-FFF2-40B4-BE49-F238E27FC236}">
              <a16:creationId xmlns:a16="http://schemas.microsoft.com/office/drawing/2014/main" id="{A8254AE5-1D72-0E2D-F266-A8CB7769D468}"/>
            </a:ext>
          </a:extLst>
        </xdr:cNvPr>
        <xdr:cNvSpPr/>
      </xdr:nvSpPr>
      <xdr:spPr>
        <a:xfrm>
          <a:off x="3090863" y="1098550"/>
          <a:ext cx="1854200" cy="8509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Avg Resolution Time</a:t>
          </a:r>
        </a:p>
        <a:p>
          <a:pPr algn="ctr"/>
          <a:r>
            <a:rPr lang="en-IN" sz="1400" b="1">
              <a:solidFill>
                <a:schemeClr val="tx1"/>
              </a:solidFill>
              <a:effectLst/>
            </a:rPr>
            <a:t> </a:t>
          </a:r>
          <a:r>
            <a:rPr lang="en-IN" sz="1800" b="1" i="0" u="none" strike="noStrike">
              <a:solidFill>
                <a:schemeClr val="tx1"/>
              </a:solidFill>
              <a:effectLst/>
              <a:latin typeface="+mn-lt"/>
              <a:ea typeface="+mn-ea"/>
              <a:cs typeface="+mn-cs"/>
            </a:rPr>
            <a:t>52.8</a:t>
          </a:r>
          <a:r>
            <a:rPr lang="en-IN" sz="1800" b="1">
              <a:solidFill>
                <a:schemeClr val="tx1"/>
              </a:solidFill>
              <a:effectLst/>
            </a:rPr>
            <a:t> </a:t>
          </a:r>
          <a:endParaRPr lang="en-IN" sz="1400" b="1">
            <a:solidFill>
              <a:schemeClr val="tx1"/>
            </a:solidFill>
          </a:endParaRPr>
        </a:p>
      </xdr:txBody>
    </xdr:sp>
    <xdr:clientData/>
  </xdr:twoCellAnchor>
  <xdr:twoCellAnchor>
    <xdr:from>
      <xdr:col>8</xdr:col>
      <xdr:colOff>257176</xdr:colOff>
      <xdr:row>5</xdr:row>
      <xdr:rowOff>177800</xdr:rowOff>
    </xdr:from>
    <xdr:to>
      <xdr:col>11</xdr:col>
      <xdr:colOff>282576</xdr:colOff>
      <xdr:row>10</xdr:row>
      <xdr:rowOff>107950</xdr:rowOff>
    </xdr:to>
    <xdr:sp macro="" textlink="">
      <xdr:nvSpPr>
        <xdr:cNvPr id="6" name="Rectangle: Rounded Corners 5">
          <a:extLst>
            <a:ext uri="{FF2B5EF4-FFF2-40B4-BE49-F238E27FC236}">
              <a16:creationId xmlns:a16="http://schemas.microsoft.com/office/drawing/2014/main" id="{16FD84B3-4F72-4630-A379-E2238261F0C0}"/>
            </a:ext>
          </a:extLst>
        </xdr:cNvPr>
        <xdr:cNvSpPr/>
      </xdr:nvSpPr>
      <xdr:spPr>
        <a:xfrm>
          <a:off x="5133976" y="1098550"/>
          <a:ext cx="1854200" cy="8509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Top Issue</a:t>
          </a:r>
          <a:r>
            <a:rPr lang="en-IN" sz="1400" b="1">
              <a:solidFill>
                <a:schemeClr val="tx1"/>
              </a:solidFill>
              <a:effectLst/>
            </a:rPr>
            <a:t> </a:t>
          </a:r>
        </a:p>
        <a:p>
          <a:pPr algn="ctr"/>
          <a:r>
            <a:rPr lang="en-IN" sz="1600" b="1" i="0" u="none" strike="noStrike">
              <a:solidFill>
                <a:schemeClr val="tx1"/>
              </a:solidFill>
              <a:effectLst/>
              <a:latin typeface="+mn-lt"/>
              <a:ea typeface="+mn-ea"/>
              <a:cs typeface="+mn-cs"/>
            </a:rPr>
            <a:t>Application Crash</a:t>
          </a:r>
          <a:r>
            <a:rPr lang="en-IN" sz="1600" b="1">
              <a:solidFill>
                <a:schemeClr val="tx1"/>
              </a:solidFill>
              <a:effectLst/>
            </a:rPr>
            <a:t> </a:t>
          </a:r>
          <a:endParaRPr lang="en-IN" sz="1600" b="1">
            <a:solidFill>
              <a:schemeClr val="tx1"/>
            </a:solidFill>
          </a:endParaRPr>
        </a:p>
      </xdr:txBody>
    </xdr:sp>
    <xdr:clientData/>
  </xdr:twoCellAnchor>
  <xdr:twoCellAnchor>
    <xdr:from>
      <xdr:col>11</xdr:col>
      <xdr:colOff>471489</xdr:colOff>
      <xdr:row>5</xdr:row>
      <xdr:rowOff>177800</xdr:rowOff>
    </xdr:from>
    <xdr:to>
      <xdr:col>14</xdr:col>
      <xdr:colOff>496889</xdr:colOff>
      <xdr:row>10</xdr:row>
      <xdr:rowOff>107950</xdr:rowOff>
    </xdr:to>
    <xdr:sp macro="" textlink="">
      <xdr:nvSpPr>
        <xdr:cNvPr id="7" name="Rectangle: Rounded Corners 6">
          <a:extLst>
            <a:ext uri="{FF2B5EF4-FFF2-40B4-BE49-F238E27FC236}">
              <a16:creationId xmlns:a16="http://schemas.microsoft.com/office/drawing/2014/main" id="{11F52C93-3670-416D-ADF8-3A5C51E5FD0E}"/>
            </a:ext>
          </a:extLst>
        </xdr:cNvPr>
        <xdr:cNvSpPr/>
      </xdr:nvSpPr>
      <xdr:spPr>
        <a:xfrm>
          <a:off x="7177089" y="1098550"/>
          <a:ext cx="1854200" cy="8509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Top Analyst</a:t>
          </a:r>
        </a:p>
        <a:p>
          <a:pPr algn="ctr"/>
          <a:r>
            <a:rPr lang="en-IN" sz="1800" b="1" i="0" u="none" strike="noStrike">
              <a:solidFill>
                <a:schemeClr val="tx1"/>
              </a:solidFill>
              <a:effectLst/>
              <a:latin typeface="+mn-lt"/>
              <a:ea typeface="+mn-ea"/>
              <a:cs typeface="+mn-cs"/>
            </a:rPr>
            <a:t>Toni Wiley</a:t>
          </a:r>
          <a:r>
            <a:rPr lang="en-IN" sz="1800" b="1">
              <a:solidFill>
                <a:schemeClr val="tx1"/>
              </a:solidFill>
              <a:effectLst/>
            </a:rPr>
            <a:t>  </a:t>
          </a:r>
          <a:endParaRPr lang="en-IN" sz="1800" b="1">
            <a:solidFill>
              <a:schemeClr val="tx1"/>
            </a:solidFill>
          </a:endParaRPr>
        </a:p>
      </xdr:txBody>
    </xdr:sp>
    <xdr:clientData/>
  </xdr:twoCellAnchor>
  <xdr:twoCellAnchor>
    <xdr:from>
      <xdr:col>15</xdr:col>
      <xdr:colOff>76200</xdr:colOff>
      <xdr:row>5</xdr:row>
      <xdr:rowOff>177800</xdr:rowOff>
    </xdr:from>
    <xdr:to>
      <xdr:col>18</xdr:col>
      <xdr:colOff>101600</xdr:colOff>
      <xdr:row>10</xdr:row>
      <xdr:rowOff>107950</xdr:rowOff>
    </xdr:to>
    <xdr:sp macro="" textlink="">
      <xdr:nvSpPr>
        <xdr:cNvPr id="8" name="Rectangle: Rounded Corners 7">
          <a:extLst>
            <a:ext uri="{FF2B5EF4-FFF2-40B4-BE49-F238E27FC236}">
              <a16:creationId xmlns:a16="http://schemas.microsoft.com/office/drawing/2014/main" id="{A96978D0-6F2B-4C9F-83F4-10578E11C7E9}"/>
            </a:ext>
          </a:extLst>
        </xdr:cNvPr>
        <xdr:cNvSpPr/>
      </xdr:nvSpPr>
      <xdr:spPr>
        <a:xfrm>
          <a:off x="9220200" y="1098550"/>
          <a:ext cx="1854200" cy="8509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Avg hours day</a:t>
          </a:r>
        </a:p>
        <a:p>
          <a:pPr algn="ctr"/>
          <a:r>
            <a:rPr lang="en-IN" sz="1800" b="1" i="0" u="none" strike="noStrike">
              <a:solidFill>
                <a:schemeClr val="tx1"/>
              </a:solidFill>
              <a:effectLst/>
              <a:latin typeface="+mn-lt"/>
              <a:ea typeface="+mn-ea"/>
              <a:cs typeface="+mn-cs"/>
            </a:rPr>
            <a:t>11.58</a:t>
          </a:r>
          <a:r>
            <a:rPr lang="en-IN" sz="1800" b="1">
              <a:solidFill>
                <a:schemeClr val="tx1"/>
              </a:solidFill>
              <a:effectLst/>
            </a:rPr>
            <a:t> </a:t>
          </a:r>
          <a:r>
            <a:rPr lang="en-IN" sz="1400" b="1">
              <a:solidFill>
                <a:schemeClr val="tx1"/>
              </a:solidFill>
              <a:effectLst/>
            </a:rPr>
            <a:t> </a:t>
          </a:r>
          <a:endParaRPr lang="en-IN" sz="1400" b="1">
            <a:solidFill>
              <a:schemeClr val="tx1"/>
            </a:solidFill>
          </a:endParaRPr>
        </a:p>
      </xdr:txBody>
    </xdr:sp>
    <xdr:clientData/>
  </xdr:twoCellAnchor>
  <xdr:twoCellAnchor>
    <xdr:from>
      <xdr:col>1</xdr:col>
      <xdr:colOff>438150</xdr:colOff>
      <xdr:row>5</xdr:row>
      <xdr:rowOff>177800</xdr:rowOff>
    </xdr:from>
    <xdr:to>
      <xdr:col>4</xdr:col>
      <xdr:colOff>463550</xdr:colOff>
      <xdr:row>10</xdr:row>
      <xdr:rowOff>107950</xdr:rowOff>
    </xdr:to>
    <xdr:sp macro="" textlink="">
      <xdr:nvSpPr>
        <xdr:cNvPr id="9" name="Rectangle: Rounded Corners 8">
          <a:extLst>
            <a:ext uri="{FF2B5EF4-FFF2-40B4-BE49-F238E27FC236}">
              <a16:creationId xmlns:a16="http://schemas.microsoft.com/office/drawing/2014/main" id="{A7462EF8-094C-4CFD-902A-F77FEDF5A1DC}"/>
            </a:ext>
          </a:extLst>
        </xdr:cNvPr>
        <xdr:cNvSpPr/>
      </xdr:nvSpPr>
      <xdr:spPr>
        <a:xfrm>
          <a:off x="1047750" y="1098550"/>
          <a:ext cx="1854200" cy="8509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Total Tickets</a:t>
          </a:r>
          <a:r>
            <a:rPr lang="en-IN" sz="1400" b="1">
              <a:solidFill>
                <a:schemeClr val="tx1"/>
              </a:solidFill>
              <a:effectLst/>
            </a:rPr>
            <a:t> </a:t>
          </a:r>
        </a:p>
        <a:p>
          <a:pPr algn="ctr"/>
          <a:r>
            <a:rPr lang="en-IN" sz="1800" b="1">
              <a:solidFill>
                <a:schemeClr val="tx1"/>
              </a:solidFill>
              <a:effectLst/>
            </a:rPr>
            <a:t>151</a:t>
          </a:r>
          <a:endParaRPr lang="en-IN" sz="1800" b="1">
            <a:solidFill>
              <a:schemeClr val="tx1"/>
            </a:solidFill>
          </a:endParaRPr>
        </a:p>
      </xdr:txBody>
    </xdr:sp>
    <xdr:clientData/>
  </xdr:twoCellAnchor>
  <xdr:twoCellAnchor>
    <xdr:from>
      <xdr:col>3</xdr:col>
      <xdr:colOff>482600</xdr:colOff>
      <xdr:row>11</xdr:row>
      <xdr:rowOff>44450</xdr:rowOff>
    </xdr:from>
    <xdr:to>
      <xdr:col>11</xdr:col>
      <xdr:colOff>193675</xdr:colOff>
      <xdr:row>25</xdr:row>
      <xdr:rowOff>127000</xdr:rowOff>
    </xdr:to>
    <xdr:graphicFrame macro="">
      <xdr:nvGraphicFramePr>
        <xdr:cNvPr id="10" name="Chart 9">
          <a:extLst>
            <a:ext uri="{FF2B5EF4-FFF2-40B4-BE49-F238E27FC236}">
              <a16:creationId xmlns:a16="http://schemas.microsoft.com/office/drawing/2014/main" id="{7DE3DEAA-907F-42FD-AEC7-A9C002F35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273050</xdr:colOff>
      <xdr:row>11</xdr:row>
      <xdr:rowOff>44450</xdr:rowOff>
    </xdr:from>
    <xdr:to>
      <xdr:col>18</xdr:col>
      <xdr:colOff>577850</xdr:colOff>
      <xdr:row>25</xdr:row>
      <xdr:rowOff>120650</xdr:rowOff>
    </xdr:to>
    <xdr:graphicFrame macro="">
      <xdr:nvGraphicFramePr>
        <xdr:cNvPr id="11" name="Chart 10">
          <a:extLst>
            <a:ext uri="{FF2B5EF4-FFF2-40B4-BE49-F238E27FC236}">
              <a16:creationId xmlns:a16="http://schemas.microsoft.com/office/drawing/2014/main" id="{F6B005CB-3315-423E-8AF7-9C8672B52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476250</xdr:colOff>
      <xdr:row>26</xdr:row>
      <xdr:rowOff>31750</xdr:rowOff>
    </xdr:from>
    <xdr:to>
      <xdr:col>11</xdr:col>
      <xdr:colOff>203200</xdr:colOff>
      <xdr:row>43</xdr:row>
      <xdr:rowOff>76200</xdr:rowOff>
    </xdr:to>
    <xdr:graphicFrame macro="">
      <xdr:nvGraphicFramePr>
        <xdr:cNvPr id="12" name="Chart 11">
          <a:extLst>
            <a:ext uri="{FF2B5EF4-FFF2-40B4-BE49-F238E27FC236}">
              <a16:creationId xmlns:a16="http://schemas.microsoft.com/office/drawing/2014/main" id="{B203D1F9-DE14-4A2C-93C5-A161180EE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292100</xdr:colOff>
      <xdr:row>26</xdr:row>
      <xdr:rowOff>31750</xdr:rowOff>
    </xdr:from>
    <xdr:to>
      <xdr:col>18</xdr:col>
      <xdr:colOff>590550</xdr:colOff>
      <xdr:row>43</xdr:row>
      <xdr:rowOff>95250</xdr:rowOff>
    </xdr:to>
    <xdr:graphicFrame macro="">
      <xdr:nvGraphicFramePr>
        <xdr:cNvPr id="13" name="Chart 12">
          <a:extLst>
            <a:ext uri="{FF2B5EF4-FFF2-40B4-BE49-F238E27FC236}">
              <a16:creationId xmlns:a16="http://schemas.microsoft.com/office/drawing/2014/main" id="{E18A824C-B305-4C42-AF84-FF01739BC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469901</xdr:colOff>
      <xdr:row>43</xdr:row>
      <xdr:rowOff>171450</xdr:rowOff>
    </xdr:from>
    <xdr:to>
      <xdr:col>11</xdr:col>
      <xdr:colOff>209550</xdr:colOff>
      <xdr:row>59</xdr:row>
      <xdr:rowOff>38100</xdr:rowOff>
    </xdr:to>
    <xdr:graphicFrame macro="">
      <xdr:nvGraphicFramePr>
        <xdr:cNvPr id="14" name="Chart 13">
          <a:extLst>
            <a:ext uri="{FF2B5EF4-FFF2-40B4-BE49-F238E27FC236}">
              <a16:creationId xmlns:a16="http://schemas.microsoft.com/office/drawing/2014/main" id="{A6880A9C-F541-4216-A992-62C1D4A9F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292100</xdr:colOff>
      <xdr:row>44</xdr:row>
      <xdr:rowOff>0</xdr:rowOff>
    </xdr:from>
    <xdr:to>
      <xdr:col>18</xdr:col>
      <xdr:colOff>596900</xdr:colOff>
      <xdr:row>59</xdr:row>
      <xdr:rowOff>25400</xdr:rowOff>
    </xdr:to>
    <xdr:graphicFrame macro="">
      <xdr:nvGraphicFramePr>
        <xdr:cNvPr id="15" name="Chart 14">
          <a:extLst>
            <a:ext uri="{FF2B5EF4-FFF2-40B4-BE49-F238E27FC236}">
              <a16:creationId xmlns:a16="http://schemas.microsoft.com/office/drawing/2014/main" id="{DAD98B4E-7517-4818-AC96-310742BD9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400050</xdr:colOff>
      <xdr:row>19</xdr:row>
      <xdr:rowOff>133350</xdr:rowOff>
    </xdr:from>
    <xdr:to>
      <xdr:col>3</xdr:col>
      <xdr:colOff>400050</xdr:colOff>
      <xdr:row>36</xdr:row>
      <xdr:rowOff>165100</xdr:rowOff>
    </xdr:to>
    <mc:AlternateContent xmlns:mc="http://schemas.openxmlformats.org/markup-compatibility/2006">
      <mc:Choice xmlns:a14="http://schemas.microsoft.com/office/drawing/2010/main" Requires="a14">
        <xdr:graphicFrame macro="">
          <xdr:nvGraphicFramePr>
            <xdr:cNvPr id="16" name="assigned_analyst 1">
              <a:extLst>
                <a:ext uri="{FF2B5EF4-FFF2-40B4-BE49-F238E27FC236}">
                  <a16:creationId xmlns:a16="http://schemas.microsoft.com/office/drawing/2014/main" id="{F41047B5-73E0-41FF-88A9-B9C643111E03}"/>
                </a:ext>
              </a:extLst>
            </xdr:cNvPr>
            <xdr:cNvGraphicFramePr/>
          </xdr:nvGraphicFramePr>
          <xdr:xfrm>
            <a:off x="0" y="0"/>
            <a:ext cx="0" cy="0"/>
          </xdr:xfrm>
          <a:graphic>
            <a:graphicData uri="http://schemas.microsoft.com/office/drawing/2010/slicer">
              <sle:slicer xmlns:sle="http://schemas.microsoft.com/office/drawing/2010/slicer" name="assigned_analyst 1"/>
            </a:graphicData>
          </a:graphic>
        </xdr:graphicFrame>
      </mc:Choice>
      <mc:Fallback>
        <xdr:sp macro="" textlink="">
          <xdr:nvSpPr>
            <xdr:cNvPr id="0" name=""/>
            <xdr:cNvSpPr>
              <a:spLocks noTextEdit="1"/>
            </xdr:cNvSpPr>
          </xdr:nvSpPr>
          <xdr:spPr>
            <a:xfrm>
              <a:off x="400050" y="3652308"/>
              <a:ext cx="1825625" cy="3180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400050</xdr:colOff>
      <xdr:row>37</xdr:row>
      <xdr:rowOff>44450</xdr:rowOff>
    </xdr:from>
    <xdr:to>
      <xdr:col>3</xdr:col>
      <xdr:colOff>393700</xdr:colOff>
      <xdr:row>46</xdr:row>
      <xdr:rowOff>0</xdr:rowOff>
    </xdr:to>
    <mc:AlternateContent xmlns:mc="http://schemas.openxmlformats.org/markup-compatibility/2006">
      <mc:Choice xmlns:a14="http://schemas.microsoft.com/office/drawing/2010/main" Requires="a14">
        <xdr:graphicFrame macro="">
          <xdr:nvGraphicFramePr>
            <xdr:cNvPr id="17" name="priority 1">
              <a:extLst>
                <a:ext uri="{FF2B5EF4-FFF2-40B4-BE49-F238E27FC236}">
                  <a16:creationId xmlns:a16="http://schemas.microsoft.com/office/drawing/2014/main" id="{542288E6-6C75-402C-8365-6F9EF38CC3A0}"/>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dr:sp macro="" textlink="">
          <xdr:nvSpPr>
            <xdr:cNvPr id="0" name=""/>
            <xdr:cNvSpPr>
              <a:spLocks noTextEdit="1"/>
            </xdr:cNvSpPr>
          </xdr:nvSpPr>
          <xdr:spPr>
            <a:xfrm>
              <a:off x="400050" y="6897158"/>
              <a:ext cx="1819275" cy="1622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400050</xdr:colOff>
      <xdr:row>46</xdr:row>
      <xdr:rowOff>63500</xdr:rowOff>
    </xdr:from>
    <xdr:to>
      <xdr:col>3</xdr:col>
      <xdr:colOff>393700</xdr:colOff>
      <xdr:row>59</xdr:row>
      <xdr:rowOff>50800</xdr:rowOff>
    </xdr:to>
    <mc:AlternateContent xmlns:mc="http://schemas.openxmlformats.org/markup-compatibility/2006">
      <mc:Choice xmlns:a14="http://schemas.microsoft.com/office/drawing/2010/main" Requires="a14">
        <xdr:graphicFrame macro="">
          <xdr:nvGraphicFramePr>
            <xdr:cNvPr id="18" name="category 1">
              <a:extLst>
                <a:ext uri="{FF2B5EF4-FFF2-40B4-BE49-F238E27FC236}">
                  <a16:creationId xmlns:a16="http://schemas.microsoft.com/office/drawing/2014/main" id="{29186F1C-A679-48BB-B0C6-9EB1E9EF8A5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00050" y="8583083"/>
              <a:ext cx="1819275" cy="2395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393700</xdr:colOff>
      <xdr:row>11</xdr:row>
      <xdr:rowOff>50800</xdr:rowOff>
    </xdr:from>
    <xdr:to>
      <xdr:col>3</xdr:col>
      <xdr:colOff>393700</xdr:colOff>
      <xdr:row>19</xdr:row>
      <xdr:rowOff>69850</xdr:rowOff>
    </xdr:to>
    <mc:AlternateContent xmlns:mc="http://schemas.openxmlformats.org/markup-compatibility/2006">
      <mc:Choice xmlns:a14="http://schemas.microsoft.com/office/drawing/2010/main" Requires="a14">
        <xdr:graphicFrame macro="">
          <xdr:nvGraphicFramePr>
            <xdr:cNvPr id="19" name="Day_Month 1">
              <a:extLst>
                <a:ext uri="{FF2B5EF4-FFF2-40B4-BE49-F238E27FC236}">
                  <a16:creationId xmlns:a16="http://schemas.microsoft.com/office/drawing/2014/main" id="{737395F5-ABA7-4B3C-B561-6830415254B4}"/>
                </a:ext>
              </a:extLst>
            </xdr:cNvPr>
            <xdr:cNvGraphicFramePr/>
          </xdr:nvGraphicFramePr>
          <xdr:xfrm>
            <a:off x="0" y="0"/>
            <a:ext cx="0" cy="0"/>
          </xdr:xfrm>
          <a:graphic>
            <a:graphicData uri="http://schemas.microsoft.com/office/drawing/2010/slicer">
              <sle:slicer xmlns:sle="http://schemas.microsoft.com/office/drawing/2010/slicer" name="Day_Month 1"/>
            </a:graphicData>
          </a:graphic>
        </xdr:graphicFrame>
      </mc:Choice>
      <mc:Fallback>
        <xdr:sp macro="" textlink="">
          <xdr:nvSpPr>
            <xdr:cNvPr id="0" name=""/>
            <xdr:cNvSpPr>
              <a:spLocks noTextEdit="1"/>
            </xdr:cNvSpPr>
          </xdr:nvSpPr>
          <xdr:spPr>
            <a:xfrm>
              <a:off x="393700" y="2088092"/>
              <a:ext cx="1825625" cy="1500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139699</xdr:colOff>
      <xdr:row>7</xdr:row>
      <xdr:rowOff>23282</xdr:rowOff>
    </xdr:to>
    <xdr:pic>
      <xdr:nvPicPr>
        <xdr:cNvPr id="20" name="Picture 19">
          <a:extLst>
            <a:ext uri="{FF2B5EF4-FFF2-40B4-BE49-F238E27FC236}">
              <a16:creationId xmlns:a16="http://schemas.microsoft.com/office/drawing/2014/main" id="{BF255FCE-02D3-D2E8-518F-E6447FD94C71}"/>
            </a:ext>
          </a:extLst>
        </xdr:cNvPr>
        <xdr:cNvPicPr>
          <a:picLocks noChangeAspect="1"/>
        </xdr:cNvPicPr>
      </xdr:nvPicPr>
      <xdr:blipFill>
        <a:blip xmlns:r="http://schemas.openxmlformats.org/officeDocument/2006/relationships" r:embed="rId7"/>
        <a:stretch>
          <a:fillRect/>
        </a:stretch>
      </xdr:blipFill>
      <xdr:spPr>
        <a:xfrm>
          <a:off x="0" y="0"/>
          <a:ext cx="1968499" cy="131233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N" refreshedDate="46101.74399224537" createdVersion="8" refreshedVersion="8" minRefreshableVersion="3" recordCount="150" xr:uid="{107B52CB-EF1A-4AC7-B113-5EED768F5E00}">
  <cacheSource type="worksheet">
    <worksheetSource name="Cleaned_Data"/>
  </cacheSource>
  <cacheFields count="13">
    <cacheField name="ticket_id" numFmtId="0">
      <sharedItems count="150">
        <s v="TICKET-1000"/>
        <s v="TICKET-1001"/>
        <s v="TICKET-1002"/>
        <s v="TICKET-1003"/>
        <s v="TICKET-1004"/>
        <s v="TICKET-1005"/>
        <s v="TICKET-1006"/>
        <s v="TICKET-1007"/>
        <s v="TICKET-1008"/>
        <s v="TICKET-1009"/>
        <s v="TICKET-1010"/>
        <s v="TICKET-1011"/>
        <s v="TICKET-1012"/>
        <s v="TICKET-1013"/>
        <s v="TICKET-1014"/>
        <s v="TICKET-1015"/>
        <s v="TICKET-1016"/>
        <s v="TICKET-1017"/>
        <s v="TICKET-1018"/>
        <s v="TICKET-1019"/>
        <s v="TICKET-1020"/>
        <s v="TICKET-1021"/>
        <s v="TICKET-1022"/>
        <s v="TICKET-1023"/>
        <s v="TICKET-1024"/>
        <s v="TICKET-1025"/>
        <s v="TICKET-1026"/>
        <s v="TICKET-1027"/>
        <s v="TICKET-1028"/>
        <s v="TICKET-1029"/>
        <s v="TICKET-1030"/>
        <s v="TICKET-1031"/>
        <s v="TICKET-1032"/>
        <s v="TICKET-1033"/>
        <s v="TICKET-1034"/>
        <s v="TICKET-1035"/>
        <s v="TICKET-1036"/>
        <s v="TICKET-1037"/>
        <s v="TICKET-1038"/>
        <s v="TICKET-1039"/>
        <s v="TICKET-1040"/>
        <s v="TICKET-1041"/>
        <s v="TICKET-1042"/>
        <s v="TICKET-1043"/>
        <s v="TICKET-1044"/>
        <s v="TICKET-1045"/>
        <s v="TICKET-1046"/>
        <s v="TICKET-1047"/>
        <s v="TICKET-1048"/>
        <s v="TICKET-1049"/>
        <s v="TICKET-1050"/>
        <s v="TICKET-1051"/>
        <s v="TICKET-1052"/>
        <s v="TICKET-1053"/>
        <s v="TICKET-1054"/>
        <s v="TICKET-1055"/>
        <s v="TICKET-1056"/>
        <s v="TICKET-1057"/>
        <s v="TICKET-1058"/>
        <s v="TICKET-1059"/>
        <s v="TICKET-1060"/>
        <s v="TICKET-1061"/>
        <s v="TICKET-1062"/>
        <s v="TICKET-1063"/>
        <s v="TICKET-1064"/>
        <s v="TICKET-1065"/>
        <s v="TICKET-1066"/>
        <s v="TICKET-1067"/>
        <s v="TICKET-1068"/>
        <s v="TICKET-1069"/>
        <s v="TICKET-1070"/>
        <s v="TICKET-1071"/>
        <s v="TICKET-1072"/>
        <s v="TICKET-1073"/>
        <s v="TICKET-1074"/>
        <s v="TICKET-1075"/>
        <s v="TICKET-1076"/>
        <s v="TICKET-1077"/>
        <s v="TICKET-1078"/>
        <s v="TICKET-1079"/>
        <s v="TICKET-1080"/>
        <s v="TICKET-1081"/>
        <s v="TICKET-1082"/>
        <s v="TICKET-1083"/>
        <s v="TICKET-1084"/>
        <s v="TICKET-1085"/>
        <s v="TICKET-1086"/>
        <s v="TICKET-1087"/>
        <s v="TICKET-1088"/>
        <s v="TICKET-1089"/>
        <s v="TICKET-1090"/>
        <s v="TICKET-1091"/>
        <s v="TICKET-1092"/>
        <s v="TICKET-1093"/>
        <s v="TICKET-1094"/>
        <s v="TICKET-1095"/>
        <s v="TICKET-1096"/>
        <s v="TICKET-1097"/>
        <s v="TICKET-1098"/>
        <s v="TICKET-1099"/>
        <s v="TICKET-1100"/>
        <s v="TICKET-1101"/>
        <s v="TICKET-1102"/>
        <s v="TICKET-1103"/>
        <s v="TICKET-1104"/>
        <s v="TICKET-1105"/>
        <s v="TICKET-1106"/>
        <s v="TICKET-1107"/>
        <s v="TICKET-1108"/>
        <s v="TICKET-1109"/>
        <s v="TICKET-1110"/>
        <s v="TICKET-1111"/>
        <s v="TICKET-1112"/>
        <s v="TICKET-1113"/>
        <s v="TICKET-1114"/>
        <s v="TICKET-1115"/>
        <s v="TICKET-1116"/>
        <s v="TICKET-1117"/>
        <s v="TICKET-1118"/>
        <s v="TICKET-1119"/>
        <s v="TICKET-1120"/>
        <s v="TICKET-1121"/>
        <s v="TICKET-1122"/>
        <s v="TICKET-1123"/>
        <s v="TICKET-1124"/>
        <s v="TICKET-1125"/>
        <s v="TICKET-1126"/>
        <s v="TICKET-1127"/>
        <s v="TICKET-1128"/>
        <s v="TICKET-1129"/>
        <s v="TICKET-1130"/>
        <s v="TICKET-1131"/>
        <s v="TICKET-1132"/>
        <s v="TICKET-1133"/>
        <s v="TICKET-1134"/>
        <s v="TICKET-1135"/>
        <s v="TICKET-1136"/>
        <s v="TICKET-1137"/>
        <s v="TICKET-1138"/>
        <s v="TICKET-1139"/>
        <s v="TICKET-1140"/>
        <s v="TICKET-1141"/>
        <s v="TICKET-1142"/>
        <s v="TICKET-1143"/>
        <s v="TICKET-1144"/>
        <s v="TICKET-1145"/>
        <s v="TICKET-1146"/>
        <s v="TICKET-1147"/>
        <s v="TICKET-1148"/>
        <s v="TICKET-1149"/>
      </sharedItems>
    </cacheField>
    <cacheField name="submission_date" numFmtId="14">
      <sharedItems containsSemiMixedTypes="0" containsNonDate="0" containsDate="1" containsString="0" minDate="2025-06-18T00:00:00" maxDate="2025-09-16T00:00:00"/>
    </cacheField>
    <cacheField name="submission_time" numFmtId="164">
      <sharedItems containsSemiMixedTypes="0" containsNonDate="0" containsDate="1" containsString="0" minDate="1899-12-30T00:02:16" maxDate="1899-12-30T23:58:57"/>
    </cacheField>
    <cacheField name="resolution_date" numFmtId="14">
      <sharedItems containsSemiMixedTypes="0" containsNonDate="0" containsDate="1" containsString="0" minDate="2025-06-19T00:00:00" maxDate="2025-09-18T00:00:00"/>
    </cacheField>
    <cacheField name="resolution_time" numFmtId="164">
      <sharedItems containsSemiMixedTypes="0" containsNonDate="0" containsDate="1" containsString="0" minDate="1899-12-30T00:20:43" maxDate="1899-12-30T23:58:38"/>
    </cacheField>
    <cacheField name="category" numFmtId="0">
      <sharedItems count="7">
        <s v="Other"/>
        <s v="Software"/>
        <s v="Hardware"/>
        <s v="Access"/>
        <s v="Network"/>
        <s v="Security"/>
        <s v="Billing"/>
      </sharedItems>
    </cacheField>
    <cacheField name="assigned_analyst" numFmtId="0">
      <sharedItems count="10">
        <s v="Toni Wiley"/>
        <s v="Tanya Jones"/>
        <s v="Sheila Ball"/>
        <s v="Cynthia Rich"/>
        <s v="Janice Burns"/>
        <s v="Autumn Ryan"/>
        <s v="Amanda White"/>
        <s v="Adam Stone"/>
        <s v="Natasha Harris"/>
        <s v="Marvin West"/>
      </sharedItems>
    </cacheField>
    <cacheField name="description" numFmtId="0">
      <sharedItems/>
    </cacheField>
    <cacheField name="priority" numFmtId="0">
      <sharedItems count="4">
        <s v="High"/>
        <s v="Medium"/>
        <s v="Low"/>
        <s v="Critical"/>
      </sharedItems>
    </cacheField>
    <cacheField name="Resolution_time(hrs)" numFmtId="0">
      <sharedItems containsSemiMixedTypes="0" containsString="0" containsNumber="1" containsInteger="1" minValue="0" maxValue="168"/>
    </cacheField>
    <cacheField name="Day_week" numFmtId="0">
      <sharedItems count="7">
        <s v="Fri"/>
        <s v="Mon"/>
        <s v="Thu"/>
        <s v="Wed"/>
        <s v="Sat"/>
        <s v="Tue"/>
        <s v="Sun"/>
      </sharedItems>
    </cacheField>
    <cacheField name="Day_Month" numFmtId="0">
      <sharedItems count="4">
        <s v="Jun"/>
        <s v="Sep"/>
        <s v="Jul"/>
        <s v="Aug"/>
      </sharedItems>
    </cacheField>
    <cacheField name="Hour_day" numFmtId="0">
      <sharedItems containsSemiMixedTypes="0" containsString="0" containsNumber="1" containsInteger="1" minValue="0" maxValue="23" count="24">
        <n v="22"/>
        <n v="19"/>
        <n v="9"/>
        <n v="17"/>
        <n v="21"/>
        <n v="20"/>
        <n v="10"/>
        <n v="7"/>
        <n v="16"/>
        <n v="14"/>
        <n v="13"/>
        <n v="1"/>
        <n v="11"/>
        <n v="23"/>
        <n v="12"/>
        <n v="3"/>
        <n v="5"/>
        <n v="0"/>
        <n v="18"/>
        <n v="8"/>
        <n v="15"/>
        <n v="2"/>
        <n v="6"/>
        <n v="4"/>
      </sharedItems>
    </cacheField>
  </cacheFields>
  <extLst>
    <ext xmlns:x14="http://schemas.microsoft.com/office/spreadsheetml/2009/9/main" uri="{725AE2AE-9491-48be-B2B4-4EB974FC3084}">
      <x14:pivotCacheDefinition pivotCacheId="122788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d v="2025-06-27T00:00:00"/>
    <d v="1899-12-30T22:36:15"/>
    <d v="2025-06-28T00:00:00"/>
    <d v="1899-12-30T03:46:40"/>
    <x v="0"/>
    <x v="0"/>
    <s v="Dream part subject until full. Brother century suddenly above. Six eight benefit animal move best."/>
    <x v="0"/>
    <n v="24"/>
    <x v="0"/>
    <x v="0"/>
    <x v="0"/>
  </r>
  <r>
    <x v="1"/>
    <d v="2025-09-01T00:00:00"/>
    <d v="1899-12-30T19:27:59"/>
    <d v="2025-09-03T00:00:00"/>
    <d v="1899-12-30T07:18:05"/>
    <x v="1"/>
    <x v="1"/>
    <s v="Application X is crashing every time I open it. Lead how phone also score player later blue."/>
    <x v="1"/>
    <n v="48"/>
    <x v="1"/>
    <x v="1"/>
    <x v="1"/>
  </r>
  <r>
    <x v="2"/>
    <d v="2025-09-04T00:00:00"/>
    <d v="1899-12-30T09:32:02"/>
    <d v="2025-09-05T00:00:00"/>
    <d v="1899-12-30T23:50:36"/>
    <x v="0"/>
    <x v="2"/>
    <s v="Black attack cold would page. Reality she war a chance. Physical hour Mr item red agreement for."/>
    <x v="1"/>
    <n v="24"/>
    <x v="2"/>
    <x v="1"/>
    <x v="2"/>
  </r>
  <r>
    <x v="3"/>
    <d v="2025-07-28T00:00:00"/>
    <d v="1899-12-30T17:47:33"/>
    <d v="2025-07-29T00:00:00"/>
    <d v="1899-12-30T01:38:19"/>
    <x v="2"/>
    <x v="3"/>
    <s v="My laptop's keyboard isn't working properly, some keys are stuck. Tree culture above effort more national whether."/>
    <x v="0"/>
    <n v="24"/>
    <x v="1"/>
    <x v="2"/>
    <x v="3"/>
  </r>
  <r>
    <x v="4"/>
    <d v="2025-09-03T00:00:00"/>
    <d v="1899-12-30T21:46:08"/>
    <d v="2025-09-04T00:00:00"/>
    <d v="1899-12-30T06:53:07"/>
    <x v="1"/>
    <x v="4"/>
    <s v="Application X is crashing every time I open it. Order wrong fight foreign bad house pick."/>
    <x v="0"/>
    <n v="24"/>
    <x v="3"/>
    <x v="1"/>
    <x v="4"/>
  </r>
  <r>
    <x v="5"/>
    <d v="2025-08-04T00:00:00"/>
    <d v="1899-12-30T20:32:40"/>
    <d v="2025-08-10T00:00:00"/>
    <d v="1899-12-30T09:52:41"/>
    <x v="1"/>
    <x v="2"/>
    <s v="Application X is crashing every time I open it. Sport should network realize relate very voice."/>
    <x v="2"/>
    <n v="144"/>
    <x v="1"/>
    <x v="3"/>
    <x v="5"/>
  </r>
  <r>
    <x v="6"/>
    <d v="2025-08-22T00:00:00"/>
    <d v="1899-12-30T10:38:15"/>
    <d v="2025-08-23T00:00:00"/>
    <d v="1899-12-30T14:11:49"/>
    <x v="3"/>
    <x v="5"/>
    <s v="I'm locked out of my account and can't reset my password. If rather year suffer wrong."/>
    <x v="2"/>
    <n v="24"/>
    <x v="0"/>
    <x v="3"/>
    <x v="6"/>
  </r>
  <r>
    <x v="7"/>
    <d v="2025-07-05T00:00:00"/>
    <d v="1899-12-30T07:43:27"/>
    <d v="2025-07-09T00:00:00"/>
    <d v="1899-12-30T20:26:19"/>
    <x v="1"/>
    <x v="6"/>
    <s v="Application X is crashing every time I open it. Here bill leg region training. Grow new may."/>
    <x v="2"/>
    <n v="96"/>
    <x v="4"/>
    <x v="2"/>
    <x v="7"/>
  </r>
  <r>
    <x v="8"/>
    <d v="2025-07-07T00:00:00"/>
    <d v="1899-12-30T16:41:13"/>
    <d v="2025-07-08T00:00:00"/>
    <d v="1899-12-30T10:04:28"/>
    <x v="2"/>
    <x v="6"/>
    <s v="My laptop's keyboard isn't working properly, some keys are stuck. Common maintain theory involve ok detail."/>
    <x v="1"/>
    <n v="24"/>
    <x v="1"/>
    <x v="2"/>
    <x v="8"/>
  </r>
  <r>
    <x v="9"/>
    <d v="2025-09-10T00:00:00"/>
    <d v="1899-12-30T14:49:32"/>
    <d v="2025-09-11T00:00:00"/>
    <d v="1899-12-30T19:58:37"/>
    <x v="1"/>
    <x v="2"/>
    <s v="Application X is crashing every time I open it. Responsibility again recently traditional word."/>
    <x v="1"/>
    <n v="24"/>
    <x v="3"/>
    <x v="1"/>
    <x v="9"/>
  </r>
  <r>
    <x v="10"/>
    <d v="2025-08-27T00:00:00"/>
    <d v="1899-12-30T13:20:01"/>
    <d v="2025-09-02T00:00:00"/>
    <d v="1899-12-30T16:28:31"/>
    <x v="1"/>
    <x v="7"/>
    <s v="Application X is crashing every time I open it. Structure this woman born."/>
    <x v="2"/>
    <n v="144"/>
    <x v="3"/>
    <x v="3"/>
    <x v="10"/>
  </r>
  <r>
    <x v="11"/>
    <d v="2025-06-24T00:00:00"/>
    <d v="1899-12-30T01:56:18"/>
    <d v="2025-06-24T00:00:00"/>
    <d v="1899-12-30T05:46:32"/>
    <x v="4"/>
    <x v="8"/>
    <s v="Can't connect to the Wi-Fi. It's showing 'No internet access'. Maintain without college strong few not week."/>
    <x v="0"/>
    <n v="0"/>
    <x v="5"/>
    <x v="0"/>
    <x v="11"/>
  </r>
  <r>
    <x v="12"/>
    <d v="2025-06-28T00:00:00"/>
    <d v="1899-12-30T09:51:47"/>
    <d v="2025-06-29T00:00:00"/>
    <d v="1899-12-30T02:58:41"/>
    <x v="4"/>
    <x v="0"/>
    <s v="Can't connect to the Wi-Fi. It's showing 'No internet access'. Official human task door century energy Mr."/>
    <x v="1"/>
    <n v="24"/>
    <x v="4"/>
    <x v="0"/>
    <x v="2"/>
  </r>
  <r>
    <x v="13"/>
    <d v="2025-07-22T00:00:00"/>
    <d v="1899-12-30T09:08:53"/>
    <d v="2025-07-26T00:00:00"/>
    <d v="1899-12-30T15:54:43"/>
    <x v="1"/>
    <x v="6"/>
    <s v="Application X is crashing every time I open it. Spring operation performance glass choice kind."/>
    <x v="2"/>
    <n v="96"/>
    <x v="5"/>
    <x v="2"/>
    <x v="2"/>
  </r>
  <r>
    <x v="14"/>
    <d v="2025-07-09T00:00:00"/>
    <d v="1899-12-30T22:32:58"/>
    <d v="2025-07-10T00:00:00"/>
    <d v="1899-12-30T01:11:31"/>
    <x v="1"/>
    <x v="1"/>
    <s v="Application X is crashing every time I open it. Summer yard maintain fire ask eight."/>
    <x v="0"/>
    <n v="24"/>
    <x v="3"/>
    <x v="2"/>
    <x v="0"/>
  </r>
  <r>
    <x v="15"/>
    <d v="2025-07-23T00:00:00"/>
    <d v="1899-12-30T22:34:10"/>
    <d v="2025-07-24T00:00:00"/>
    <d v="1899-12-30T01:20:01"/>
    <x v="1"/>
    <x v="9"/>
    <s v="Application X is crashing every time I open it. Least check between event. Can brother two form."/>
    <x v="0"/>
    <n v="24"/>
    <x v="3"/>
    <x v="2"/>
    <x v="0"/>
  </r>
  <r>
    <x v="16"/>
    <d v="2025-08-06T00:00:00"/>
    <d v="1899-12-30T11:52:05"/>
    <d v="2025-08-11T00:00:00"/>
    <d v="1899-12-30T08:18:52"/>
    <x v="1"/>
    <x v="6"/>
    <s v="Application X is crashing every time I open it. Resource in affect charge customer accept dream."/>
    <x v="2"/>
    <n v="120"/>
    <x v="3"/>
    <x v="3"/>
    <x v="12"/>
  </r>
  <r>
    <x v="17"/>
    <d v="2025-06-30T00:00:00"/>
    <d v="1899-12-30T16:42:13"/>
    <d v="2025-07-02T00:00:00"/>
    <d v="1899-12-30T20:37:18"/>
    <x v="5"/>
    <x v="0"/>
    <s v="Thought national word picture each deep."/>
    <x v="2"/>
    <n v="48"/>
    <x v="1"/>
    <x v="0"/>
    <x v="8"/>
  </r>
  <r>
    <x v="18"/>
    <d v="2025-06-30T00:00:00"/>
    <d v="1899-12-30T23:03:04"/>
    <d v="2025-07-04T00:00:00"/>
    <d v="1899-12-30T11:48:25"/>
    <x v="4"/>
    <x v="3"/>
    <s v="Can't connect to the Wi-Fi. It's showing 'No internet access'. Card series research else cup though artist."/>
    <x v="2"/>
    <n v="96"/>
    <x v="1"/>
    <x v="0"/>
    <x v="13"/>
  </r>
  <r>
    <x v="19"/>
    <d v="2025-07-03T00:00:00"/>
    <d v="1899-12-30T07:27:15"/>
    <d v="2025-07-04T00:00:00"/>
    <d v="1899-12-30T23:58:38"/>
    <x v="2"/>
    <x v="3"/>
    <s v="My laptop's keyboard isn't working properly, some keys are stuck. Young up grow after offer east region would."/>
    <x v="1"/>
    <n v="24"/>
    <x v="2"/>
    <x v="2"/>
    <x v="7"/>
  </r>
  <r>
    <x v="20"/>
    <d v="2025-06-23T00:00:00"/>
    <d v="1899-12-30T22:49:37"/>
    <d v="2025-06-25T00:00:00"/>
    <d v="1899-12-30T11:06:40"/>
    <x v="1"/>
    <x v="1"/>
    <s v="Application X is crashing every time I open it. Nice then management."/>
    <x v="1"/>
    <n v="48"/>
    <x v="1"/>
    <x v="0"/>
    <x v="0"/>
  </r>
  <r>
    <x v="21"/>
    <d v="2025-07-08T00:00:00"/>
    <d v="1899-12-30T11:34:56"/>
    <d v="2025-07-10T00:00:00"/>
    <d v="1899-12-30T09:25:12"/>
    <x v="1"/>
    <x v="0"/>
    <s v="Application X is crashing every time I open it. Water act involve follow hot."/>
    <x v="1"/>
    <n v="48"/>
    <x v="5"/>
    <x v="2"/>
    <x v="12"/>
  </r>
  <r>
    <x v="22"/>
    <d v="2025-06-22T00:00:00"/>
    <d v="1899-12-30T23:29:45"/>
    <d v="2025-06-23T00:00:00"/>
    <d v="1899-12-30T16:34:14"/>
    <x v="1"/>
    <x v="7"/>
    <s v="Application X is crashing every time I open it. Another such apply table let."/>
    <x v="1"/>
    <n v="24"/>
    <x v="6"/>
    <x v="0"/>
    <x v="13"/>
  </r>
  <r>
    <x v="23"/>
    <d v="2025-08-29T00:00:00"/>
    <d v="1899-12-30T12:27:52"/>
    <d v="2025-08-31T00:00:00"/>
    <d v="1899-12-30T04:23:44"/>
    <x v="1"/>
    <x v="4"/>
    <s v="Application X is crashing every time I open it. Senior per draw day mention sea quickly."/>
    <x v="1"/>
    <n v="48"/>
    <x v="0"/>
    <x v="3"/>
    <x v="14"/>
  </r>
  <r>
    <x v="24"/>
    <d v="2025-07-12T00:00:00"/>
    <d v="1899-12-30T03:37:37"/>
    <d v="2025-07-16T00:00:00"/>
    <d v="1899-12-30T09:42:35"/>
    <x v="4"/>
    <x v="3"/>
    <s v="Can't connect to the Wi-Fi. It's showing 'No internet access'. Race Republican expect east might collection."/>
    <x v="2"/>
    <n v="96"/>
    <x v="4"/>
    <x v="2"/>
    <x v="15"/>
  </r>
  <r>
    <x v="25"/>
    <d v="2025-07-13T00:00:00"/>
    <d v="1899-12-30T05:42:49"/>
    <d v="2025-07-14T00:00:00"/>
    <d v="1899-12-30T19:35:58"/>
    <x v="1"/>
    <x v="1"/>
    <s v="Application X is crashing every time I open it. Total maintain service writer."/>
    <x v="1"/>
    <n v="24"/>
    <x v="6"/>
    <x v="2"/>
    <x v="16"/>
  </r>
  <r>
    <x v="26"/>
    <d v="2025-06-24T00:00:00"/>
    <d v="1899-12-30T00:26:51"/>
    <d v="2025-06-24T00:00:00"/>
    <d v="1899-12-30T12:14:51"/>
    <x v="4"/>
    <x v="4"/>
    <s v="Can't connect to the Wi-Fi. It's showing 'No internet access'. Individual herself decide generation."/>
    <x v="0"/>
    <n v="0"/>
    <x v="5"/>
    <x v="0"/>
    <x v="17"/>
  </r>
  <r>
    <x v="27"/>
    <d v="2025-07-03T00:00:00"/>
    <d v="1899-12-30T19:29:05"/>
    <d v="2025-07-05T00:00:00"/>
    <d v="1899-12-30T17:15:13"/>
    <x v="6"/>
    <x v="1"/>
    <s v="Yourself floor foot character choose. Brother prepare but film key name."/>
    <x v="1"/>
    <n v="48"/>
    <x v="2"/>
    <x v="2"/>
    <x v="1"/>
  </r>
  <r>
    <x v="28"/>
    <d v="2025-09-15T00:00:00"/>
    <d v="1899-12-30T13:02:57"/>
    <d v="2025-09-17T00:00:00"/>
    <d v="1899-12-30T07:57:17"/>
    <x v="0"/>
    <x v="0"/>
    <s v="Successful radio play network yet. Fill director direction ready white."/>
    <x v="2"/>
    <n v="48"/>
    <x v="1"/>
    <x v="1"/>
    <x v="10"/>
  </r>
  <r>
    <x v="29"/>
    <d v="2025-08-27T00:00:00"/>
    <d v="1899-12-30T21:57:13"/>
    <d v="2025-08-29T00:00:00"/>
    <d v="1899-12-30T06:38:56"/>
    <x v="1"/>
    <x v="2"/>
    <s v="Application X is crashing every time I open it. Southern beat general first much hotel agency."/>
    <x v="1"/>
    <n v="48"/>
    <x v="3"/>
    <x v="3"/>
    <x v="4"/>
  </r>
  <r>
    <x v="30"/>
    <d v="2025-08-30T00:00:00"/>
    <d v="1899-12-30T20:17:04"/>
    <d v="2025-09-06T00:00:00"/>
    <d v="1899-12-30T02:38:11"/>
    <x v="4"/>
    <x v="2"/>
    <s v="Can't connect to the Wi-Fi. It's showing 'No internet access'. Cup government by life reduce each customer."/>
    <x v="2"/>
    <n v="168"/>
    <x v="4"/>
    <x v="3"/>
    <x v="5"/>
  </r>
  <r>
    <x v="31"/>
    <d v="2025-08-24T00:00:00"/>
    <d v="1899-12-30T23:58:57"/>
    <d v="2025-08-25T00:00:00"/>
    <d v="1899-12-30T07:35:19"/>
    <x v="1"/>
    <x v="1"/>
    <s v="Application X is crashing every time I open it. Market growth film."/>
    <x v="0"/>
    <n v="24"/>
    <x v="6"/>
    <x v="3"/>
    <x v="13"/>
  </r>
  <r>
    <x v="32"/>
    <d v="2025-07-11T00:00:00"/>
    <d v="1899-12-30T18:10:38"/>
    <d v="2025-07-17T00:00:00"/>
    <d v="1899-12-30T06:40:37"/>
    <x v="4"/>
    <x v="6"/>
    <s v="Can't connect to the Wi-Fi. It's showing 'No internet access'. Could north state feel others participant."/>
    <x v="2"/>
    <n v="144"/>
    <x v="0"/>
    <x v="2"/>
    <x v="18"/>
  </r>
  <r>
    <x v="33"/>
    <d v="2025-09-04T00:00:00"/>
    <d v="1899-12-30T19:33:02"/>
    <d v="2025-09-10T00:00:00"/>
    <d v="1899-12-30T05:28:47"/>
    <x v="6"/>
    <x v="5"/>
    <s v="Follow chair add finally these plan staff. Across shoulder school free."/>
    <x v="2"/>
    <n v="144"/>
    <x v="2"/>
    <x v="1"/>
    <x v="1"/>
  </r>
  <r>
    <x v="34"/>
    <d v="2025-08-24T00:00:00"/>
    <d v="1899-12-30T17:06:08"/>
    <d v="2025-08-30T00:00:00"/>
    <d v="1899-12-30T19:43:20"/>
    <x v="1"/>
    <x v="4"/>
    <s v="Application X is crashing every time I open it. Bag half join treat water by affect."/>
    <x v="2"/>
    <n v="144"/>
    <x v="6"/>
    <x v="3"/>
    <x v="3"/>
  </r>
  <r>
    <x v="35"/>
    <d v="2025-06-30T00:00:00"/>
    <d v="1899-12-30T17:48:02"/>
    <d v="2025-07-01T00:00:00"/>
    <d v="1899-12-30T19:36:47"/>
    <x v="2"/>
    <x v="1"/>
    <s v="My laptop's keyboard isn't working properly, some keys are stuck. Science bad news pressure anything probably save."/>
    <x v="2"/>
    <n v="24"/>
    <x v="1"/>
    <x v="0"/>
    <x v="3"/>
  </r>
  <r>
    <x v="36"/>
    <d v="2025-09-09T00:00:00"/>
    <d v="1899-12-30T08:46:25"/>
    <d v="2025-09-13T00:00:00"/>
    <d v="1899-12-30T06:18:49"/>
    <x v="1"/>
    <x v="8"/>
    <s v="Application X is crashing every time I open it. Fund project find law identify close worker."/>
    <x v="2"/>
    <n v="96"/>
    <x v="5"/>
    <x v="1"/>
    <x v="19"/>
  </r>
  <r>
    <x v="37"/>
    <d v="2025-08-11T00:00:00"/>
    <d v="1899-12-30T10:56:35"/>
    <d v="2025-08-17T00:00:00"/>
    <d v="1899-12-30T16:07:19"/>
    <x v="0"/>
    <x v="7"/>
    <s v="Rate play media air. Trade thank hundred choice reduce remember possible us."/>
    <x v="2"/>
    <n v="144"/>
    <x v="1"/>
    <x v="3"/>
    <x v="6"/>
  </r>
  <r>
    <x v="38"/>
    <d v="2025-09-01T00:00:00"/>
    <d v="1899-12-30T16:20:12"/>
    <d v="2025-09-02T00:00:00"/>
    <d v="1899-12-30T02:43:04"/>
    <x v="1"/>
    <x v="5"/>
    <s v="Application X is crashing every time I open it. Effort avoid door shoulder cut."/>
    <x v="1"/>
    <n v="24"/>
    <x v="1"/>
    <x v="1"/>
    <x v="8"/>
  </r>
  <r>
    <x v="39"/>
    <d v="2025-08-14T00:00:00"/>
    <d v="1899-12-30T20:30:07"/>
    <d v="2025-08-15T00:00:00"/>
    <d v="1899-12-30T08:44:18"/>
    <x v="3"/>
    <x v="6"/>
    <s v="I'm locked out of my account and can't reset my password. Point fine stop radio chair tree career scene."/>
    <x v="1"/>
    <n v="24"/>
    <x v="2"/>
    <x v="3"/>
    <x v="5"/>
  </r>
  <r>
    <x v="40"/>
    <d v="2025-09-05T00:00:00"/>
    <d v="1899-12-30T05:49:38"/>
    <d v="2025-09-06T00:00:00"/>
    <d v="1899-12-30T22:59:27"/>
    <x v="4"/>
    <x v="0"/>
    <s v="Can't connect to the Wi-Fi. It's showing 'No internet access'. Simple practice operation move put."/>
    <x v="1"/>
    <n v="24"/>
    <x v="0"/>
    <x v="1"/>
    <x v="16"/>
  </r>
  <r>
    <x v="41"/>
    <d v="2025-09-13T00:00:00"/>
    <d v="1899-12-30T18:26:29"/>
    <d v="2025-09-14T00:00:00"/>
    <d v="1899-12-30T19:22:38"/>
    <x v="2"/>
    <x v="1"/>
    <s v="My laptop's keyboard isn't working properly, some keys are stuck. Firm discuss audience say amount."/>
    <x v="2"/>
    <n v="24"/>
    <x v="4"/>
    <x v="1"/>
    <x v="18"/>
  </r>
  <r>
    <x v="42"/>
    <d v="2025-07-28T00:00:00"/>
    <d v="1899-12-30T00:42:23"/>
    <d v="2025-08-03T00:00:00"/>
    <d v="1899-12-30T11:00:26"/>
    <x v="6"/>
    <x v="9"/>
    <s v="Physical business information._x000a_Activity else house another. Still protect admit answer."/>
    <x v="2"/>
    <n v="144"/>
    <x v="1"/>
    <x v="2"/>
    <x v="17"/>
  </r>
  <r>
    <x v="43"/>
    <d v="2025-07-30T00:00:00"/>
    <d v="1899-12-30T21:37:32"/>
    <d v="2025-07-30T00:00:00"/>
    <d v="1899-12-30T23:09:44"/>
    <x v="1"/>
    <x v="6"/>
    <s v="Application X is crashing every time I open it. Anything despite not."/>
    <x v="3"/>
    <n v="0"/>
    <x v="3"/>
    <x v="2"/>
    <x v="4"/>
  </r>
  <r>
    <x v="44"/>
    <d v="2025-08-03T00:00:00"/>
    <d v="1899-12-30T03:02:32"/>
    <d v="2025-08-03T00:00:00"/>
    <d v="1899-12-30T07:10:24"/>
    <x v="2"/>
    <x v="5"/>
    <s v="My laptop's keyboard isn't working properly, some keys are stuck. Film answer tax different carry represent."/>
    <x v="0"/>
    <n v="0"/>
    <x v="6"/>
    <x v="3"/>
    <x v="15"/>
  </r>
  <r>
    <x v="45"/>
    <d v="2025-07-05T00:00:00"/>
    <d v="1899-12-30T09:41:53"/>
    <d v="2025-07-05T00:00:00"/>
    <d v="1899-12-30T21:04:57"/>
    <x v="1"/>
    <x v="1"/>
    <s v="Application X is crashing every time I open it. American computer let go event."/>
    <x v="0"/>
    <n v="0"/>
    <x v="4"/>
    <x v="2"/>
    <x v="2"/>
  </r>
  <r>
    <x v="46"/>
    <d v="2025-08-30T00:00:00"/>
    <d v="1899-12-30T13:43:05"/>
    <d v="2025-09-01T00:00:00"/>
    <d v="1899-12-30T11:41:58"/>
    <x v="4"/>
    <x v="4"/>
    <s v="Can't connect to the Wi-Fi. It's showing 'No internet access'. Build oil wait community less happen."/>
    <x v="1"/>
    <n v="48"/>
    <x v="4"/>
    <x v="3"/>
    <x v="10"/>
  </r>
  <r>
    <x v="47"/>
    <d v="2025-06-22T00:00:00"/>
    <d v="1899-12-30T15:23:40"/>
    <d v="2025-06-27T00:00:00"/>
    <d v="1899-12-30T12:57:19"/>
    <x v="3"/>
    <x v="1"/>
    <s v="I'm locked out of my account and can't reset my password. Decide stuff agree national politics current son."/>
    <x v="2"/>
    <n v="120"/>
    <x v="6"/>
    <x v="0"/>
    <x v="20"/>
  </r>
  <r>
    <x v="48"/>
    <d v="2025-07-03T00:00:00"/>
    <d v="1899-12-30T03:12:43"/>
    <d v="2025-07-03T00:00:00"/>
    <d v="1899-12-30T15:39:54"/>
    <x v="4"/>
    <x v="1"/>
    <s v="Can't connect to the Wi-Fi. It's showing 'No internet access'. Phone interview worker could."/>
    <x v="1"/>
    <n v="0"/>
    <x v="2"/>
    <x v="2"/>
    <x v="15"/>
  </r>
  <r>
    <x v="49"/>
    <d v="2025-08-09T00:00:00"/>
    <d v="1899-12-30T17:51:19"/>
    <d v="2025-08-10T00:00:00"/>
    <d v="1899-12-30T20:32:45"/>
    <x v="4"/>
    <x v="1"/>
    <s v="Can't connect to the Wi-Fi. It's showing 'No internet access'. Together life least mission."/>
    <x v="1"/>
    <n v="24"/>
    <x v="4"/>
    <x v="3"/>
    <x v="3"/>
  </r>
  <r>
    <x v="50"/>
    <d v="2025-07-23T00:00:00"/>
    <d v="1899-12-30T08:22:42"/>
    <d v="2025-07-27T00:00:00"/>
    <d v="1899-12-30T23:09:53"/>
    <x v="0"/>
    <x v="3"/>
    <s v="If forget newspaper behavior note put. Almost affect entire. Trial set capital real."/>
    <x v="2"/>
    <n v="96"/>
    <x v="3"/>
    <x v="2"/>
    <x v="19"/>
  </r>
  <r>
    <x v="51"/>
    <d v="2025-07-31T00:00:00"/>
    <d v="1899-12-30T19:51:43"/>
    <d v="2025-08-07T00:00:00"/>
    <d v="1899-12-30T01:25:05"/>
    <x v="1"/>
    <x v="1"/>
    <s v="Application X is crashing every time I open it. My sound short."/>
    <x v="2"/>
    <n v="168"/>
    <x v="2"/>
    <x v="2"/>
    <x v="1"/>
  </r>
  <r>
    <x v="52"/>
    <d v="2025-06-29T00:00:00"/>
    <d v="1899-12-30T02:21:49"/>
    <d v="2025-06-29T00:00:00"/>
    <d v="1899-12-30T17:27:45"/>
    <x v="1"/>
    <x v="3"/>
    <s v="Application X is crashing every time I open it. Where culture site value set."/>
    <x v="1"/>
    <n v="0"/>
    <x v="6"/>
    <x v="0"/>
    <x v="21"/>
  </r>
  <r>
    <x v="53"/>
    <d v="2025-08-15T00:00:00"/>
    <d v="1899-12-30T20:41:48"/>
    <d v="2025-08-16T00:00:00"/>
    <d v="1899-12-30T09:53:38"/>
    <x v="1"/>
    <x v="1"/>
    <s v="Application X is crashing every time I open it. Go claim billion small experience old."/>
    <x v="1"/>
    <n v="24"/>
    <x v="0"/>
    <x v="3"/>
    <x v="5"/>
  </r>
  <r>
    <x v="54"/>
    <d v="2025-07-15T00:00:00"/>
    <d v="1899-12-30T09:00:06"/>
    <d v="2025-07-15T00:00:00"/>
    <d v="1899-12-30T19:03:09"/>
    <x v="4"/>
    <x v="2"/>
    <s v="Can't connect to the Wi-Fi. It's showing 'No internet access'. Option name including."/>
    <x v="0"/>
    <n v="0"/>
    <x v="5"/>
    <x v="2"/>
    <x v="2"/>
  </r>
  <r>
    <x v="55"/>
    <d v="2025-06-21T00:00:00"/>
    <d v="1899-12-30T01:06:48"/>
    <d v="2025-06-22T00:00:00"/>
    <d v="1899-12-30T17:47:48"/>
    <x v="3"/>
    <x v="1"/>
    <s v="I'm locked out of my account and can't reset my password. Idea enter expert decision something."/>
    <x v="1"/>
    <n v="24"/>
    <x v="4"/>
    <x v="0"/>
    <x v="11"/>
  </r>
  <r>
    <x v="56"/>
    <d v="2025-08-02T00:00:00"/>
    <d v="1899-12-30T07:52:12"/>
    <d v="2025-08-03T00:00:00"/>
    <d v="1899-12-30T14:28:33"/>
    <x v="0"/>
    <x v="3"/>
    <s v="Through culture similar finally. Oil world money about fine street small."/>
    <x v="1"/>
    <n v="24"/>
    <x v="4"/>
    <x v="3"/>
    <x v="7"/>
  </r>
  <r>
    <x v="57"/>
    <d v="2025-07-22T00:00:00"/>
    <d v="1899-12-30T08:29:34"/>
    <d v="2025-07-29T00:00:00"/>
    <d v="1899-12-30T06:48:57"/>
    <x v="5"/>
    <x v="6"/>
    <s v="Weight go sort sign law response since. Sister other actually Mrs fight everything get."/>
    <x v="2"/>
    <n v="168"/>
    <x v="5"/>
    <x v="2"/>
    <x v="19"/>
  </r>
  <r>
    <x v="58"/>
    <d v="2025-08-06T00:00:00"/>
    <d v="1899-12-30T13:42:50"/>
    <d v="2025-08-08T00:00:00"/>
    <d v="1899-12-30T07:16:37"/>
    <x v="0"/>
    <x v="6"/>
    <s v="Particular ask company nearly exist exactly friend."/>
    <x v="1"/>
    <n v="48"/>
    <x v="3"/>
    <x v="3"/>
    <x v="10"/>
  </r>
  <r>
    <x v="59"/>
    <d v="2025-06-19T00:00:00"/>
    <d v="1899-12-30T06:37:43"/>
    <d v="2025-06-20T00:00:00"/>
    <d v="1899-12-30T14:17:58"/>
    <x v="1"/>
    <x v="5"/>
    <s v="Application X is crashing every time I open it. Skin subject purpose baby training."/>
    <x v="1"/>
    <n v="24"/>
    <x v="2"/>
    <x v="0"/>
    <x v="22"/>
  </r>
  <r>
    <x v="60"/>
    <d v="2025-08-27T00:00:00"/>
    <d v="1899-12-30T11:05:37"/>
    <d v="2025-08-28T00:00:00"/>
    <d v="1899-12-30T11:49:50"/>
    <x v="2"/>
    <x v="3"/>
    <s v="My laptop's keyboard isn't working properly, some keys are stuck. Than none office improve."/>
    <x v="1"/>
    <n v="24"/>
    <x v="3"/>
    <x v="3"/>
    <x v="12"/>
  </r>
  <r>
    <x v="61"/>
    <d v="2025-09-10T00:00:00"/>
    <d v="1899-12-30T20:19:38"/>
    <d v="2025-09-12T00:00:00"/>
    <d v="1899-12-30T10:03:29"/>
    <x v="1"/>
    <x v="0"/>
    <s v="Application X is crashing every time I open it. With because article scene father black."/>
    <x v="1"/>
    <n v="48"/>
    <x v="3"/>
    <x v="1"/>
    <x v="5"/>
  </r>
  <r>
    <x v="62"/>
    <d v="2025-07-01T00:00:00"/>
    <d v="1899-12-30T16:39:40"/>
    <d v="2025-07-02T00:00:00"/>
    <d v="1899-12-30T16:21:42"/>
    <x v="1"/>
    <x v="7"/>
    <s v="Application X is crashing every time I open it. Food pass energy fund need read anything."/>
    <x v="1"/>
    <n v="24"/>
    <x v="5"/>
    <x v="2"/>
    <x v="8"/>
  </r>
  <r>
    <x v="63"/>
    <d v="2025-08-02T00:00:00"/>
    <d v="1899-12-30T07:57:08"/>
    <d v="2025-08-02T00:00:00"/>
    <d v="1899-12-30T15:55:36"/>
    <x v="3"/>
    <x v="7"/>
    <s v="I'm locked out of my account and can't reset my password. Agreement news significant cultural agree."/>
    <x v="0"/>
    <n v="0"/>
    <x v="4"/>
    <x v="3"/>
    <x v="7"/>
  </r>
  <r>
    <x v="64"/>
    <d v="2025-09-10T00:00:00"/>
    <d v="1899-12-30T05:58:12"/>
    <d v="2025-09-10T00:00:00"/>
    <d v="1899-12-30T14:01:55"/>
    <x v="3"/>
    <x v="4"/>
    <s v="I'm locked out of my account and can't reset my password. Especially under always tend teacher build."/>
    <x v="1"/>
    <n v="0"/>
    <x v="3"/>
    <x v="1"/>
    <x v="16"/>
  </r>
  <r>
    <x v="65"/>
    <d v="2025-08-17T00:00:00"/>
    <d v="1899-12-30T19:11:15"/>
    <d v="2025-08-18T00:00:00"/>
    <d v="1899-12-30T09:55:36"/>
    <x v="4"/>
    <x v="0"/>
    <s v="Can't connect to the Wi-Fi. It's showing 'No internet access'. Child as debate economy."/>
    <x v="1"/>
    <n v="24"/>
    <x v="6"/>
    <x v="3"/>
    <x v="1"/>
  </r>
  <r>
    <x v="66"/>
    <d v="2025-07-18T00:00:00"/>
    <d v="1899-12-30T06:21:57"/>
    <d v="2025-07-23T00:00:00"/>
    <d v="1899-12-30T20:05:28"/>
    <x v="2"/>
    <x v="2"/>
    <s v="My laptop's keyboard isn't working properly, some keys are stuck. Someone poor mission fill free."/>
    <x v="2"/>
    <n v="120"/>
    <x v="0"/>
    <x v="2"/>
    <x v="22"/>
  </r>
  <r>
    <x v="67"/>
    <d v="2025-07-06T00:00:00"/>
    <d v="1899-12-30T02:18:18"/>
    <d v="2025-07-07T00:00:00"/>
    <d v="1899-12-30T13:03:00"/>
    <x v="4"/>
    <x v="7"/>
    <s v="Can't connect to the Wi-Fi. It's showing 'No internet access'. Represent safe scene wall dog."/>
    <x v="1"/>
    <n v="24"/>
    <x v="6"/>
    <x v="2"/>
    <x v="21"/>
  </r>
  <r>
    <x v="68"/>
    <d v="2025-08-25T00:00:00"/>
    <d v="1899-12-30T22:46:49"/>
    <d v="2025-08-29T00:00:00"/>
    <d v="1899-12-30T05:16:59"/>
    <x v="1"/>
    <x v="5"/>
    <s v="Application X is crashing every time I open it. Claim success those baby."/>
    <x v="2"/>
    <n v="96"/>
    <x v="1"/>
    <x v="3"/>
    <x v="0"/>
  </r>
  <r>
    <x v="69"/>
    <d v="2025-09-07T00:00:00"/>
    <d v="1899-12-30T00:30:29"/>
    <d v="2025-09-08T00:00:00"/>
    <d v="1899-12-30T00:37:01"/>
    <x v="1"/>
    <x v="4"/>
    <s v="Application X is crashing every time I open it. Term lot their. Dark itself deal race Democrat."/>
    <x v="1"/>
    <n v="24"/>
    <x v="6"/>
    <x v="1"/>
    <x v="17"/>
  </r>
  <r>
    <x v="70"/>
    <d v="2025-07-21T00:00:00"/>
    <d v="1899-12-30T21:58:20"/>
    <d v="2025-07-22T00:00:00"/>
    <d v="1899-12-30T01:11:23"/>
    <x v="2"/>
    <x v="7"/>
    <s v="My laptop's keyboard isn't working properly, some keys are stuck. Bad past glass strategy. Above skin station."/>
    <x v="3"/>
    <n v="24"/>
    <x v="1"/>
    <x v="2"/>
    <x v="4"/>
  </r>
  <r>
    <x v="71"/>
    <d v="2025-07-24T00:00:00"/>
    <d v="1899-12-30T12:55:26"/>
    <d v="2025-07-25T00:00:00"/>
    <d v="1899-12-30T08:58:25"/>
    <x v="1"/>
    <x v="2"/>
    <s v="Application X is crashing every time I open it. Tv control generation away public remain."/>
    <x v="1"/>
    <n v="24"/>
    <x v="2"/>
    <x v="2"/>
    <x v="14"/>
  </r>
  <r>
    <x v="72"/>
    <d v="2025-06-18T00:00:00"/>
    <d v="1899-12-30T07:42:24"/>
    <d v="2025-06-19T00:00:00"/>
    <d v="1899-12-30T21:32:31"/>
    <x v="4"/>
    <x v="7"/>
    <s v="Can't connect to the Wi-Fi. It's showing 'No internet access'. Alone skill foot benefit."/>
    <x v="1"/>
    <n v="24"/>
    <x v="3"/>
    <x v="0"/>
    <x v="7"/>
  </r>
  <r>
    <x v="73"/>
    <d v="2025-09-03T00:00:00"/>
    <d v="1899-12-30T02:34:13"/>
    <d v="2025-09-03T00:00:00"/>
    <d v="1899-12-30T10:40:48"/>
    <x v="0"/>
    <x v="8"/>
    <s v="Media respond them indicate. Up movie television stop. Garden ten city already close."/>
    <x v="0"/>
    <n v="0"/>
    <x v="3"/>
    <x v="1"/>
    <x v="21"/>
  </r>
  <r>
    <x v="74"/>
    <d v="2025-08-08T00:00:00"/>
    <d v="1899-12-30T23:17:56"/>
    <d v="2025-08-14T00:00:00"/>
    <d v="1899-12-30T23:19:46"/>
    <x v="5"/>
    <x v="1"/>
    <s v="Lay support mouth control understand could. Husband for evening upon involve."/>
    <x v="2"/>
    <n v="144"/>
    <x v="0"/>
    <x v="3"/>
    <x v="13"/>
  </r>
  <r>
    <x v="75"/>
    <d v="2025-08-28T00:00:00"/>
    <d v="1899-12-30T01:48:14"/>
    <d v="2025-08-28T00:00:00"/>
    <d v="1899-12-30T09:40:57"/>
    <x v="0"/>
    <x v="7"/>
    <s v="Company month civil season include. Onto life for both little."/>
    <x v="0"/>
    <n v="0"/>
    <x v="2"/>
    <x v="3"/>
    <x v="11"/>
  </r>
  <r>
    <x v="76"/>
    <d v="2025-07-20T00:00:00"/>
    <d v="1899-12-30T10:31:23"/>
    <d v="2025-07-20T00:00:00"/>
    <d v="1899-12-30T14:11:12"/>
    <x v="1"/>
    <x v="1"/>
    <s v="Application X is crashing every time I open it. Candidate push mind exactly feel."/>
    <x v="0"/>
    <n v="0"/>
    <x v="6"/>
    <x v="2"/>
    <x v="6"/>
  </r>
  <r>
    <x v="77"/>
    <d v="2025-07-17T00:00:00"/>
    <d v="1899-12-30T15:42:37"/>
    <d v="2025-07-17T00:00:00"/>
    <d v="1899-12-30T22:40:18"/>
    <x v="5"/>
    <x v="5"/>
    <s v="Writer city suffer within important recently difference. Wait only relationship free."/>
    <x v="0"/>
    <n v="0"/>
    <x v="2"/>
    <x v="2"/>
    <x v="20"/>
  </r>
  <r>
    <x v="78"/>
    <d v="2025-07-23T00:00:00"/>
    <d v="1899-12-30T19:59:03"/>
    <d v="2025-07-26T00:00:00"/>
    <d v="1899-12-30T11:29:42"/>
    <x v="1"/>
    <x v="1"/>
    <s v="Application X is crashing every time I open it. Form customer bill interest remember which."/>
    <x v="2"/>
    <n v="72"/>
    <x v="3"/>
    <x v="2"/>
    <x v="1"/>
  </r>
  <r>
    <x v="79"/>
    <d v="2025-06-27T00:00:00"/>
    <d v="1899-12-30T20:58:34"/>
    <d v="2025-07-01T00:00:00"/>
    <d v="1899-12-30T20:08:24"/>
    <x v="4"/>
    <x v="1"/>
    <s v="Can't connect to the Wi-Fi. It's showing 'No internet access'. Agree begin guess ask choice low themselves born."/>
    <x v="2"/>
    <n v="96"/>
    <x v="0"/>
    <x v="0"/>
    <x v="5"/>
  </r>
  <r>
    <x v="80"/>
    <d v="2025-06-19T00:00:00"/>
    <d v="1899-12-30T16:43:34"/>
    <d v="2025-06-25T00:00:00"/>
    <d v="1899-12-30T22:32:38"/>
    <x v="1"/>
    <x v="6"/>
    <s v="Application X is crashing every time I open it. Center worry nor whole."/>
    <x v="2"/>
    <n v="144"/>
    <x v="2"/>
    <x v="0"/>
    <x v="8"/>
  </r>
  <r>
    <x v="81"/>
    <d v="2025-06-27T00:00:00"/>
    <d v="1899-12-30T00:50:44"/>
    <d v="2025-07-01T00:00:00"/>
    <d v="1899-12-30T10:00:37"/>
    <x v="3"/>
    <x v="3"/>
    <s v="I'm locked out of my account and can't reset my password. Miss son responsibility hour."/>
    <x v="2"/>
    <n v="96"/>
    <x v="0"/>
    <x v="0"/>
    <x v="17"/>
  </r>
  <r>
    <x v="82"/>
    <d v="2025-08-10T00:00:00"/>
    <d v="1899-12-30T11:17:27"/>
    <d v="2025-08-12T00:00:00"/>
    <d v="1899-12-30T08:21:17"/>
    <x v="1"/>
    <x v="1"/>
    <s v="Application X is crashing every time I open it. Develop course foreign no either."/>
    <x v="1"/>
    <n v="48"/>
    <x v="6"/>
    <x v="3"/>
    <x v="12"/>
  </r>
  <r>
    <x v="83"/>
    <d v="2025-07-29T00:00:00"/>
    <d v="1899-12-30T01:49:11"/>
    <d v="2025-07-31T00:00:00"/>
    <d v="1899-12-30T13:26:15"/>
    <x v="6"/>
    <x v="4"/>
    <s v="Public husband return country service very. Be exactly time firm yard price bad."/>
    <x v="2"/>
    <n v="48"/>
    <x v="5"/>
    <x v="2"/>
    <x v="11"/>
  </r>
  <r>
    <x v="84"/>
    <d v="2025-07-06T00:00:00"/>
    <d v="1899-12-30T10:09:03"/>
    <d v="2025-07-11T00:00:00"/>
    <d v="1899-12-30T00:20:43"/>
    <x v="2"/>
    <x v="9"/>
    <s v="My laptop's keyboard isn't working properly, some keys are stuck. Perform author more owner girl message."/>
    <x v="2"/>
    <n v="120"/>
    <x v="6"/>
    <x v="2"/>
    <x v="6"/>
  </r>
  <r>
    <x v="85"/>
    <d v="2025-07-30T00:00:00"/>
    <d v="1899-12-30T04:23:33"/>
    <d v="2025-07-30T00:00:00"/>
    <d v="1899-12-30T13:08:10"/>
    <x v="3"/>
    <x v="5"/>
    <s v="I'm locked out of my account and can't reset my password. Church stop environment."/>
    <x v="0"/>
    <n v="0"/>
    <x v="3"/>
    <x v="2"/>
    <x v="23"/>
  </r>
  <r>
    <x v="86"/>
    <d v="2025-08-23T00:00:00"/>
    <d v="1899-12-30T05:18:39"/>
    <d v="2025-08-24T00:00:00"/>
    <d v="1899-12-30T16:37:10"/>
    <x v="1"/>
    <x v="7"/>
    <s v="Application X is crashing every time I open it. Everyone body modern feeling shake loss."/>
    <x v="1"/>
    <n v="24"/>
    <x v="4"/>
    <x v="3"/>
    <x v="16"/>
  </r>
  <r>
    <x v="87"/>
    <d v="2025-07-10T00:00:00"/>
    <d v="1899-12-30T03:11:22"/>
    <d v="2025-07-10T00:00:00"/>
    <d v="1899-12-30T23:12:02"/>
    <x v="2"/>
    <x v="2"/>
    <s v="My laptop's keyboard isn't working properly, some keys are stuck. Whole material thus despite firm more."/>
    <x v="1"/>
    <n v="0"/>
    <x v="2"/>
    <x v="2"/>
    <x v="15"/>
  </r>
  <r>
    <x v="88"/>
    <d v="2025-09-12T00:00:00"/>
    <d v="1899-12-30T18:58:40"/>
    <d v="2025-09-14T00:00:00"/>
    <d v="1899-12-30T02:31:58"/>
    <x v="1"/>
    <x v="5"/>
    <s v="Application X is crashing every time I open it. Until statement century seat vote never."/>
    <x v="1"/>
    <n v="48"/>
    <x v="0"/>
    <x v="1"/>
    <x v="18"/>
  </r>
  <r>
    <x v="89"/>
    <d v="2025-09-02T00:00:00"/>
    <d v="1899-12-30T15:20:46"/>
    <d v="2025-09-08T00:00:00"/>
    <d v="1899-12-30T16:21:32"/>
    <x v="1"/>
    <x v="5"/>
    <s v="Application X is crashing every time I open it. Big season the."/>
    <x v="2"/>
    <n v="144"/>
    <x v="5"/>
    <x v="1"/>
    <x v="20"/>
  </r>
  <r>
    <x v="90"/>
    <d v="2025-07-12T00:00:00"/>
    <d v="1899-12-30T12:04:36"/>
    <d v="2025-07-13T00:00:00"/>
    <d v="1899-12-30T06:22:20"/>
    <x v="1"/>
    <x v="0"/>
    <s v="Application X is crashing every time I open it. Usually career attention realize."/>
    <x v="1"/>
    <n v="24"/>
    <x v="4"/>
    <x v="2"/>
    <x v="14"/>
  </r>
  <r>
    <x v="91"/>
    <d v="2025-08-06T00:00:00"/>
    <d v="1899-12-30T04:36:43"/>
    <d v="2025-08-12T00:00:00"/>
    <d v="1899-12-30T11:09:00"/>
    <x v="1"/>
    <x v="5"/>
    <s v="Application X is crashing every time I open it. Firm tonight statement feel Mrs music."/>
    <x v="2"/>
    <n v="144"/>
    <x v="3"/>
    <x v="3"/>
    <x v="23"/>
  </r>
  <r>
    <x v="92"/>
    <d v="2025-06-24T00:00:00"/>
    <d v="1899-12-30T12:26:09"/>
    <d v="2025-06-26T00:00:00"/>
    <d v="1899-12-30T10:49:37"/>
    <x v="4"/>
    <x v="3"/>
    <s v="Can't connect to the Wi-Fi. It's showing 'No internet access'. Life change act. Through imagine again whole."/>
    <x v="1"/>
    <n v="48"/>
    <x v="5"/>
    <x v="0"/>
    <x v="14"/>
  </r>
  <r>
    <x v="93"/>
    <d v="2025-06-25T00:00:00"/>
    <d v="1899-12-30T21:27:43"/>
    <d v="2025-06-29T00:00:00"/>
    <d v="1899-12-30T07:08:51"/>
    <x v="0"/>
    <x v="3"/>
    <s v="Including development attack wide. Concern his environment attack program rest team."/>
    <x v="2"/>
    <n v="96"/>
    <x v="3"/>
    <x v="0"/>
    <x v="4"/>
  </r>
  <r>
    <x v="94"/>
    <d v="2025-07-25T00:00:00"/>
    <d v="1899-12-30T15:06:41"/>
    <d v="2025-07-30T00:00:00"/>
    <d v="1899-12-30T00:43:14"/>
    <x v="3"/>
    <x v="7"/>
    <s v="I'm locked out of my account and can't reset my password. Another collection another many."/>
    <x v="2"/>
    <n v="120"/>
    <x v="0"/>
    <x v="2"/>
    <x v="20"/>
  </r>
  <r>
    <x v="95"/>
    <d v="2025-07-25T00:00:00"/>
    <d v="1899-12-30T17:47:28"/>
    <d v="2025-07-26T00:00:00"/>
    <d v="1899-12-30T21:49:20"/>
    <x v="0"/>
    <x v="0"/>
    <s v="Compare or at environmental. Six what them fall. Husband certain institution phone resource blood."/>
    <x v="1"/>
    <n v="24"/>
    <x v="0"/>
    <x v="2"/>
    <x v="3"/>
  </r>
  <r>
    <x v="96"/>
    <d v="2025-08-12T00:00:00"/>
    <d v="1899-12-30T17:49:44"/>
    <d v="2025-08-14T00:00:00"/>
    <d v="1899-12-30T13:34:19"/>
    <x v="3"/>
    <x v="4"/>
    <s v="I'm locked out of my account and can't reset my password. Medical let door front. Law end always."/>
    <x v="2"/>
    <n v="48"/>
    <x v="5"/>
    <x v="3"/>
    <x v="3"/>
  </r>
  <r>
    <x v="97"/>
    <d v="2025-07-25T00:00:00"/>
    <d v="1899-12-30T21:16:19"/>
    <d v="2025-08-01T00:00:00"/>
    <d v="1899-12-30T13:28:58"/>
    <x v="2"/>
    <x v="5"/>
    <s v="My laptop's keyboard isn't working properly, some keys are stuck. Rich fire power city. Water career next relate."/>
    <x v="2"/>
    <n v="168"/>
    <x v="0"/>
    <x v="2"/>
    <x v="4"/>
  </r>
  <r>
    <x v="98"/>
    <d v="2025-09-14T00:00:00"/>
    <d v="1899-12-30T19:22:48"/>
    <d v="2025-09-14T00:00:00"/>
    <d v="1899-12-30T22:26:30"/>
    <x v="1"/>
    <x v="1"/>
    <s v="Application X is crashing every time I open it. Result happy song want finish stuff."/>
    <x v="0"/>
    <n v="0"/>
    <x v="6"/>
    <x v="1"/>
    <x v="1"/>
  </r>
  <r>
    <x v="99"/>
    <d v="2025-07-31T00:00:00"/>
    <d v="1899-12-30T00:15:23"/>
    <d v="2025-07-31T00:00:00"/>
    <d v="1899-12-30T09:04:04"/>
    <x v="2"/>
    <x v="4"/>
    <s v="My laptop's keyboard isn't working properly, some keys are stuck. Themselves big matter happy small."/>
    <x v="1"/>
    <n v="0"/>
    <x v="2"/>
    <x v="2"/>
    <x v="17"/>
  </r>
  <r>
    <x v="100"/>
    <d v="2025-08-17T00:00:00"/>
    <d v="1899-12-30T13:13:43"/>
    <d v="2025-08-17T00:00:00"/>
    <d v="1899-12-30T15:17:50"/>
    <x v="1"/>
    <x v="5"/>
    <s v="Application X is crashing every time I open it. Agent will respond help."/>
    <x v="3"/>
    <n v="0"/>
    <x v="6"/>
    <x v="3"/>
    <x v="10"/>
  </r>
  <r>
    <x v="101"/>
    <d v="2025-09-11T00:00:00"/>
    <d v="1899-12-30T12:55:10"/>
    <d v="2025-09-13T00:00:00"/>
    <d v="1899-12-30T06:31:29"/>
    <x v="1"/>
    <x v="7"/>
    <s v="Application X is crashing every time I open it. Short commercial everybody difficult change."/>
    <x v="1"/>
    <n v="48"/>
    <x v="2"/>
    <x v="1"/>
    <x v="14"/>
  </r>
  <r>
    <x v="102"/>
    <d v="2025-07-01T00:00:00"/>
    <d v="1899-12-30T08:49:20"/>
    <d v="2025-07-02T00:00:00"/>
    <d v="1899-12-30T11:20:43"/>
    <x v="0"/>
    <x v="5"/>
    <s v="Any today within none hot again green. Remember attack event view father."/>
    <x v="2"/>
    <n v="24"/>
    <x v="5"/>
    <x v="2"/>
    <x v="19"/>
  </r>
  <r>
    <x v="103"/>
    <d v="2025-06-25T00:00:00"/>
    <d v="1899-12-30T22:36:02"/>
    <d v="2025-06-26T00:00:00"/>
    <d v="1899-12-30T09:59:44"/>
    <x v="1"/>
    <x v="9"/>
    <s v="Application X is crashing every time I open it. Represent senior his finish include nothing."/>
    <x v="1"/>
    <n v="24"/>
    <x v="3"/>
    <x v="0"/>
    <x v="0"/>
  </r>
  <r>
    <x v="104"/>
    <d v="2025-09-06T00:00:00"/>
    <d v="1899-12-30T06:19:01"/>
    <d v="2025-09-06T00:00:00"/>
    <d v="1899-12-30T10:36:27"/>
    <x v="6"/>
    <x v="9"/>
    <s v="She certain boy build. Test bag country president environment."/>
    <x v="0"/>
    <n v="0"/>
    <x v="4"/>
    <x v="1"/>
    <x v="22"/>
  </r>
  <r>
    <x v="105"/>
    <d v="2025-08-03T00:00:00"/>
    <d v="1899-12-30T06:45:06"/>
    <d v="2025-08-05T00:00:00"/>
    <d v="1899-12-30T16:41:23"/>
    <x v="4"/>
    <x v="8"/>
    <s v="Can't connect to the Wi-Fi. It's showing 'No internet access'. Hair job save son."/>
    <x v="2"/>
    <n v="48"/>
    <x v="6"/>
    <x v="3"/>
    <x v="22"/>
  </r>
  <r>
    <x v="106"/>
    <d v="2025-08-17T00:00:00"/>
    <d v="1899-12-30T12:18:01"/>
    <d v="2025-08-18T00:00:00"/>
    <d v="1899-12-30T18:29:37"/>
    <x v="6"/>
    <x v="2"/>
    <s v="Growth middle establish public."/>
    <x v="1"/>
    <n v="24"/>
    <x v="6"/>
    <x v="3"/>
    <x v="14"/>
  </r>
  <r>
    <x v="107"/>
    <d v="2025-07-28T00:00:00"/>
    <d v="1899-12-30T14:54:11"/>
    <d v="2025-07-31T00:00:00"/>
    <d v="1899-12-30T08:11:11"/>
    <x v="2"/>
    <x v="1"/>
    <s v="My laptop's keyboard isn't working properly, some keys are stuck. Produce require line letter listen often."/>
    <x v="2"/>
    <n v="72"/>
    <x v="1"/>
    <x v="2"/>
    <x v="9"/>
  </r>
  <r>
    <x v="108"/>
    <d v="2025-07-12T00:00:00"/>
    <d v="1899-12-30T06:57:35"/>
    <d v="2025-07-12T00:00:00"/>
    <d v="1899-12-30T11:56:19"/>
    <x v="2"/>
    <x v="2"/>
    <s v="My laptop's keyboard isn't working properly, some keys are stuck. At bag continue."/>
    <x v="0"/>
    <n v="0"/>
    <x v="4"/>
    <x v="2"/>
    <x v="22"/>
  </r>
  <r>
    <x v="109"/>
    <d v="2025-07-13T00:00:00"/>
    <d v="1899-12-30T00:24:12"/>
    <d v="2025-07-19T00:00:00"/>
    <d v="1899-12-30T22:24:35"/>
    <x v="1"/>
    <x v="2"/>
    <s v="Application X is crashing every time I open it. Without pass book tend."/>
    <x v="2"/>
    <n v="144"/>
    <x v="6"/>
    <x v="2"/>
    <x v="17"/>
  </r>
  <r>
    <x v="110"/>
    <d v="2025-07-14T00:00:00"/>
    <d v="1899-12-30T05:56:23"/>
    <d v="2025-07-14T00:00:00"/>
    <d v="1899-12-30T12:35:51"/>
    <x v="3"/>
    <x v="7"/>
    <s v="I'm locked out of my account and can't reset my password. Right where add."/>
    <x v="0"/>
    <n v="0"/>
    <x v="1"/>
    <x v="2"/>
    <x v="16"/>
  </r>
  <r>
    <x v="111"/>
    <d v="2025-08-28T00:00:00"/>
    <d v="1899-12-30T11:29:54"/>
    <d v="2025-09-04T00:00:00"/>
    <d v="1899-12-30T10:40:12"/>
    <x v="1"/>
    <x v="2"/>
    <s v="Application X is crashing every time I open it. Argue team senior low training."/>
    <x v="2"/>
    <n v="168"/>
    <x v="2"/>
    <x v="3"/>
    <x v="12"/>
  </r>
  <r>
    <x v="112"/>
    <d v="2025-08-28T00:00:00"/>
    <d v="1899-12-30T08:02:11"/>
    <d v="2025-09-02T00:00:00"/>
    <d v="1899-12-30T04:40:55"/>
    <x v="5"/>
    <x v="1"/>
    <s v="Plant attack should. Drive international today. Pretty statement her upon nation."/>
    <x v="2"/>
    <n v="120"/>
    <x v="2"/>
    <x v="3"/>
    <x v="19"/>
  </r>
  <r>
    <x v="113"/>
    <d v="2025-08-20T00:00:00"/>
    <d v="1899-12-30T11:19:48"/>
    <d v="2025-08-20T00:00:00"/>
    <d v="1899-12-30T13:31:35"/>
    <x v="2"/>
    <x v="3"/>
    <s v="My laptop's keyboard isn't working properly, some keys are stuck. Chance place build body population."/>
    <x v="0"/>
    <n v="0"/>
    <x v="3"/>
    <x v="3"/>
    <x v="12"/>
  </r>
  <r>
    <x v="114"/>
    <d v="2025-06-26T00:00:00"/>
    <d v="1899-12-30T06:39:15"/>
    <d v="2025-06-26T00:00:00"/>
    <d v="1899-12-30T21:07:28"/>
    <x v="0"/>
    <x v="4"/>
    <s v="Something million activity. Interview under cover career under. Can address show public."/>
    <x v="1"/>
    <n v="0"/>
    <x v="2"/>
    <x v="0"/>
    <x v="22"/>
  </r>
  <r>
    <x v="115"/>
    <d v="2025-09-04T00:00:00"/>
    <d v="1899-12-30T00:02:16"/>
    <d v="2025-09-08T00:00:00"/>
    <d v="1899-12-30T17:50:47"/>
    <x v="3"/>
    <x v="9"/>
    <s v="I'm locked out of my account and can't reset my password. Receive nature option oil read trouble."/>
    <x v="2"/>
    <n v="96"/>
    <x v="2"/>
    <x v="1"/>
    <x v="17"/>
  </r>
  <r>
    <x v="116"/>
    <d v="2025-07-14T00:00:00"/>
    <d v="1899-12-30T03:29:18"/>
    <d v="2025-07-15T00:00:00"/>
    <d v="1899-12-30T11:50:20"/>
    <x v="1"/>
    <x v="2"/>
    <s v="Application X is crashing every time I open it. Toward ago director condition food share meet."/>
    <x v="1"/>
    <n v="24"/>
    <x v="1"/>
    <x v="2"/>
    <x v="15"/>
  </r>
  <r>
    <x v="117"/>
    <d v="2025-07-24T00:00:00"/>
    <d v="1899-12-30T06:40:03"/>
    <d v="2025-07-26T00:00:00"/>
    <d v="1899-12-30T02:18:46"/>
    <x v="3"/>
    <x v="8"/>
    <s v="I'm locked out of my account and can't reset my password. For we when drive. Start identify now throw."/>
    <x v="1"/>
    <n v="48"/>
    <x v="2"/>
    <x v="2"/>
    <x v="22"/>
  </r>
  <r>
    <x v="118"/>
    <d v="2025-08-03T00:00:00"/>
    <d v="1899-12-30T22:42:22"/>
    <d v="2025-08-10T00:00:00"/>
    <d v="1899-12-30T12:59:56"/>
    <x v="6"/>
    <x v="5"/>
    <s v="Even focus animal civil quality lay skill. Need maybe former return."/>
    <x v="2"/>
    <n v="168"/>
    <x v="6"/>
    <x v="3"/>
    <x v="0"/>
  </r>
  <r>
    <x v="119"/>
    <d v="2025-07-12T00:00:00"/>
    <d v="1899-12-30T00:15:34"/>
    <d v="2025-07-12T00:00:00"/>
    <d v="1899-12-30T19:05:16"/>
    <x v="2"/>
    <x v="1"/>
    <s v="My laptop's keyboard isn't working properly, some keys are stuck. Cup money work certainly color."/>
    <x v="1"/>
    <n v="0"/>
    <x v="4"/>
    <x v="2"/>
    <x v="17"/>
  </r>
  <r>
    <x v="120"/>
    <d v="2025-07-19T00:00:00"/>
    <d v="1899-12-30T13:02:21"/>
    <d v="2025-07-20T00:00:00"/>
    <d v="1899-12-30T07:25:23"/>
    <x v="0"/>
    <x v="4"/>
    <s v="Clear late win beat. Those arm say year him science door."/>
    <x v="1"/>
    <n v="24"/>
    <x v="4"/>
    <x v="2"/>
    <x v="10"/>
  </r>
  <r>
    <x v="121"/>
    <d v="2025-06-29T00:00:00"/>
    <d v="1899-12-30T20:08:29"/>
    <d v="2025-06-30T00:00:00"/>
    <d v="1899-12-30T10:31:43"/>
    <x v="3"/>
    <x v="7"/>
    <s v="I'm locked out of my account and can't reset my password. Purpose almost nature create authority company."/>
    <x v="1"/>
    <n v="24"/>
    <x v="6"/>
    <x v="0"/>
    <x v="5"/>
  </r>
  <r>
    <x v="122"/>
    <d v="2025-07-29T00:00:00"/>
    <d v="1899-12-30T14:50:16"/>
    <d v="2025-07-30T00:00:00"/>
    <d v="1899-12-30T09:24:47"/>
    <x v="1"/>
    <x v="0"/>
    <s v="Application X is crashing every time I open it. Garden better chance impact where how member."/>
    <x v="1"/>
    <n v="24"/>
    <x v="5"/>
    <x v="2"/>
    <x v="9"/>
  </r>
  <r>
    <x v="123"/>
    <d v="2025-08-19T00:00:00"/>
    <d v="1899-12-30T01:11:31"/>
    <d v="2025-08-20T00:00:00"/>
    <d v="1899-12-30T19:06:32"/>
    <x v="4"/>
    <x v="1"/>
    <s v="Can't connect to the Wi-Fi. It's showing 'No internet access'. Bag without else red. Able year decision others."/>
    <x v="1"/>
    <n v="24"/>
    <x v="5"/>
    <x v="3"/>
    <x v="11"/>
  </r>
  <r>
    <x v="124"/>
    <d v="2025-06-25T00:00:00"/>
    <d v="1899-12-30T06:03:58"/>
    <d v="2025-06-25T00:00:00"/>
    <d v="1899-12-30T18:46:32"/>
    <x v="6"/>
    <x v="9"/>
    <s v="Police machine star. Computer lead control across blue eye force. Parent set professor sit couple."/>
    <x v="1"/>
    <n v="0"/>
    <x v="3"/>
    <x v="0"/>
    <x v="22"/>
  </r>
  <r>
    <x v="125"/>
    <d v="2025-08-02T00:00:00"/>
    <d v="1899-12-30T18:27:57"/>
    <d v="2025-08-03T00:00:00"/>
    <d v="1899-12-30T12:11:22"/>
    <x v="6"/>
    <x v="3"/>
    <s v="Group resource dinner knowledge scientist Mr. Police simply enter training too."/>
    <x v="1"/>
    <n v="24"/>
    <x v="4"/>
    <x v="3"/>
    <x v="18"/>
  </r>
  <r>
    <x v="126"/>
    <d v="2025-08-26T00:00:00"/>
    <d v="1899-12-30T00:22:42"/>
    <d v="2025-08-29T00:00:00"/>
    <d v="1899-12-30T23:04:42"/>
    <x v="2"/>
    <x v="5"/>
    <s v="My laptop's keyboard isn't working properly, some keys are stuck. Go wear understand relate."/>
    <x v="2"/>
    <n v="72"/>
    <x v="5"/>
    <x v="3"/>
    <x v="17"/>
  </r>
  <r>
    <x v="127"/>
    <d v="2025-07-17T00:00:00"/>
    <d v="1899-12-30T15:23:18"/>
    <d v="2025-07-22T00:00:00"/>
    <d v="1899-12-30T01:23:31"/>
    <x v="1"/>
    <x v="9"/>
    <s v="Application X is crashing every time I open it. Gas mother rate wind fight success medical."/>
    <x v="2"/>
    <n v="120"/>
    <x v="2"/>
    <x v="2"/>
    <x v="20"/>
  </r>
  <r>
    <x v="128"/>
    <d v="2025-09-09T00:00:00"/>
    <d v="1899-12-30T17:02:08"/>
    <d v="2025-09-10T00:00:00"/>
    <d v="1899-12-30T01:18:36"/>
    <x v="4"/>
    <x v="2"/>
    <s v="Can't connect to the Wi-Fi. It's showing 'No internet access'. These entire million eat play sit."/>
    <x v="0"/>
    <n v="24"/>
    <x v="5"/>
    <x v="1"/>
    <x v="3"/>
  </r>
  <r>
    <x v="129"/>
    <d v="2025-09-06T00:00:00"/>
    <d v="1899-12-30T17:30:19"/>
    <d v="2025-09-08T00:00:00"/>
    <d v="1899-12-30T16:09:04"/>
    <x v="0"/>
    <x v="1"/>
    <s v="Draw once season talk forward. Decision partner north realize finish one question."/>
    <x v="1"/>
    <n v="48"/>
    <x v="4"/>
    <x v="1"/>
    <x v="3"/>
  </r>
  <r>
    <x v="130"/>
    <d v="2025-09-10T00:00:00"/>
    <d v="1899-12-30T20:54:16"/>
    <d v="2025-09-12T00:00:00"/>
    <d v="1899-12-30T16:37:09"/>
    <x v="6"/>
    <x v="6"/>
    <s v="Catch travel form bar pretty himself team. Light suffer evidence land ok may guy."/>
    <x v="2"/>
    <n v="48"/>
    <x v="3"/>
    <x v="1"/>
    <x v="5"/>
  </r>
  <r>
    <x v="131"/>
    <d v="2025-08-10T00:00:00"/>
    <d v="1899-12-30T12:29:53"/>
    <d v="2025-08-14T00:00:00"/>
    <d v="1899-12-30T09:20:29"/>
    <x v="6"/>
    <x v="2"/>
    <s v="Act believe heavy watch best game part. Too language mean. Cut age personal resource."/>
    <x v="2"/>
    <n v="96"/>
    <x v="6"/>
    <x v="3"/>
    <x v="14"/>
  </r>
  <r>
    <x v="132"/>
    <d v="2025-09-07T00:00:00"/>
    <d v="1899-12-30T02:38:17"/>
    <d v="2025-09-10T00:00:00"/>
    <d v="1899-12-30T14:05:48"/>
    <x v="0"/>
    <x v="7"/>
    <s v="Year name message voice data. Protect word up today. Break drop already life."/>
    <x v="2"/>
    <n v="72"/>
    <x v="6"/>
    <x v="1"/>
    <x v="21"/>
  </r>
  <r>
    <x v="133"/>
    <d v="2025-07-21T00:00:00"/>
    <d v="1899-12-30T07:07:13"/>
    <d v="2025-07-21T00:00:00"/>
    <d v="1899-12-30T17:05:13"/>
    <x v="3"/>
    <x v="3"/>
    <s v="I'm locked out of my account and can't reset my password. Maintain tree story research hair why."/>
    <x v="0"/>
    <n v="0"/>
    <x v="1"/>
    <x v="2"/>
    <x v="7"/>
  </r>
  <r>
    <x v="134"/>
    <d v="2025-08-15T00:00:00"/>
    <d v="1899-12-30T01:02:49"/>
    <d v="2025-08-22T00:00:00"/>
    <d v="1899-12-30T00:38:37"/>
    <x v="0"/>
    <x v="5"/>
    <s v="Memory process group arm attack indicate mother. View three prepare by."/>
    <x v="2"/>
    <n v="168"/>
    <x v="0"/>
    <x v="3"/>
    <x v="11"/>
  </r>
  <r>
    <x v="135"/>
    <d v="2025-06-24T00:00:00"/>
    <d v="1899-12-30T05:57:13"/>
    <d v="2025-06-29T00:00:00"/>
    <d v="1899-12-30T00:46:12"/>
    <x v="5"/>
    <x v="6"/>
    <s v="Foreign sign be money cup raise keep. Right scene market."/>
    <x v="2"/>
    <n v="120"/>
    <x v="5"/>
    <x v="0"/>
    <x v="16"/>
  </r>
  <r>
    <x v="136"/>
    <d v="2025-09-14T00:00:00"/>
    <d v="1899-12-30T17:50:13"/>
    <d v="2025-09-17T00:00:00"/>
    <d v="1899-12-30T23:47:18"/>
    <x v="2"/>
    <x v="6"/>
    <s v="My laptop's keyboard isn't working properly, some keys are stuck. Certain six among before."/>
    <x v="2"/>
    <n v="72"/>
    <x v="6"/>
    <x v="1"/>
    <x v="3"/>
  </r>
  <r>
    <x v="137"/>
    <d v="2025-06-29T00:00:00"/>
    <d v="1899-12-30T09:14:35"/>
    <d v="2025-06-30T00:00:00"/>
    <d v="1899-12-30T23:16:50"/>
    <x v="2"/>
    <x v="1"/>
    <s v="My laptop's keyboard isn't working properly, some keys are stuck. Ago his against point garden drug."/>
    <x v="2"/>
    <n v="24"/>
    <x v="6"/>
    <x v="0"/>
    <x v="2"/>
  </r>
  <r>
    <x v="138"/>
    <d v="2025-08-19T00:00:00"/>
    <d v="1899-12-30T13:22:45"/>
    <d v="2025-08-20T00:00:00"/>
    <d v="1899-12-30T12:41:10"/>
    <x v="1"/>
    <x v="0"/>
    <s v="Application X is crashing every time I open it. Any state food citizen."/>
    <x v="1"/>
    <n v="24"/>
    <x v="5"/>
    <x v="3"/>
    <x v="10"/>
  </r>
  <r>
    <x v="139"/>
    <d v="2025-08-21T00:00:00"/>
    <d v="1899-12-30T14:38:53"/>
    <d v="2025-08-27T00:00:00"/>
    <d v="1899-12-30T10:24:42"/>
    <x v="4"/>
    <x v="6"/>
    <s v="Can't connect to the Wi-Fi. It's showing 'No internet access'. He particularly begin save area finally word."/>
    <x v="2"/>
    <n v="144"/>
    <x v="2"/>
    <x v="3"/>
    <x v="9"/>
  </r>
  <r>
    <x v="140"/>
    <d v="2025-08-05T00:00:00"/>
    <d v="1899-12-30T10:58:01"/>
    <d v="2025-08-06T00:00:00"/>
    <d v="1899-12-30T01:50:40"/>
    <x v="2"/>
    <x v="8"/>
    <s v="My laptop's keyboard isn't working properly, some keys are stuck. Serious simply mind cost movie actually."/>
    <x v="1"/>
    <n v="24"/>
    <x v="5"/>
    <x v="3"/>
    <x v="6"/>
  </r>
  <r>
    <x v="141"/>
    <d v="2025-08-18T00:00:00"/>
    <d v="1899-12-30T10:22:03"/>
    <d v="2025-08-18T00:00:00"/>
    <d v="1899-12-30T23:14:09"/>
    <x v="2"/>
    <x v="0"/>
    <s v="My laptop's keyboard isn't working properly, some keys are stuck. Social approach mother white."/>
    <x v="1"/>
    <n v="0"/>
    <x v="1"/>
    <x v="3"/>
    <x v="6"/>
  </r>
  <r>
    <x v="142"/>
    <d v="2025-09-13T00:00:00"/>
    <d v="1899-12-30T16:20:39"/>
    <d v="2025-09-14T00:00:00"/>
    <d v="1899-12-30T21:34:39"/>
    <x v="4"/>
    <x v="4"/>
    <s v="Can't connect to the Wi-Fi. It's showing 'No internet access'. Enter room up sound nature."/>
    <x v="1"/>
    <n v="24"/>
    <x v="4"/>
    <x v="1"/>
    <x v="8"/>
  </r>
  <r>
    <x v="143"/>
    <d v="2025-08-03T00:00:00"/>
    <d v="1899-12-30T06:49:30"/>
    <d v="2025-08-06T00:00:00"/>
    <d v="1899-12-30T22:49:37"/>
    <x v="2"/>
    <x v="3"/>
    <s v="My laptop's keyboard isn't working properly, some keys are stuck. Effort to since question."/>
    <x v="2"/>
    <n v="72"/>
    <x v="6"/>
    <x v="3"/>
    <x v="22"/>
  </r>
  <r>
    <x v="144"/>
    <d v="2025-06-27T00:00:00"/>
    <d v="1899-12-30T03:04:19"/>
    <d v="2025-06-27T00:00:00"/>
    <d v="1899-12-30T15:18:05"/>
    <x v="1"/>
    <x v="8"/>
    <s v="Application X is crashing every time I open it. These drive president building."/>
    <x v="1"/>
    <n v="0"/>
    <x v="0"/>
    <x v="0"/>
    <x v="15"/>
  </r>
  <r>
    <x v="145"/>
    <d v="2025-08-31T00:00:00"/>
    <d v="1899-12-30T15:49:38"/>
    <d v="2025-08-31T00:00:00"/>
    <d v="1899-12-30T17:50:13"/>
    <x v="6"/>
    <x v="3"/>
    <s v="Suddenly effort she without without."/>
    <x v="3"/>
    <n v="0"/>
    <x v="6"/>
    <x v="3"/>
    <x v="20"/>
  </r>
  <r>
    <x v="146"/>
    <d v="2025-06-24T00:00:00"/>
    <d v="1899-12-30T11:03:21"/>
    <d v="2025-06-24T00:00:00"/>
    <d v="1899-12-30T18:54:19"/>
    <x v="4"/>
    <x v="6"/>
    <s v="Can't connect to the Wi-Fi. It's showing 'No internet access'. Should that nation can difficult nice."/>
    <x v="0"/>
    <n v="0"/>
    <x v="5"/>
    <x v="0"/>
    <x v="12"/>
  </r>
  <r>
    <x v="147"/>
    <d v="2025-09-02T00:00:00"/>
    <d v="1899-12-30T16:56:42"/>
    <d v="2025-09-06T00:00:00"/>
    <d v="1899-12-30T05:01:09"/>
    <x v="5"/>
    <x v="3"/>
    <s v="Look scene real owner agent whose specific. Along they yourself character year or behind."/>
    <x v="2"/>
    <n v="96"/>
    <x v="5"/>
    <x v="1"/>
    <x v="8"/>
  </r>
  <r>
    <x v="148"/>
    <d v="2025-07-16T00:00:00"/>
    <d v="1899-12-30T14:22:14"/>
    <d v="2025-07-17T00:00:00"/>
    <d v="1899-12-30T16:50:11"/>
    <x v="0"/>
    <x v="7"/>
    <s v="You reflect radio. Especially speech wish interesting wife."/>
    <x v="1"/>
    <n v="24"/>
    <x v="3"/>
    <x v="2"/>
    <x v="9"/>
  </r>
  <r>
    <x v="149"/>
    <d v="2025-07-31T00:00:00"/>
    <d v="1899-12-30T04:12:38"/>
    <d v="2025-08-01T00:00:00"/>
    <d v="1899-12-30T04:13:25"/>
    <x v="2"/>
    <x v="0"/>
    <s v="My laptop's keyboard isn't working properly, some keys are stuck. Event pattern factor deep manager work."/>
    <x v="1"/>
    <n v="24"/>
    <x v="2"/>
    <x v="2"/>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4AA6A9-13CE-4D0E-A821-E76AA7D126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ay_Week">
  <location ref="A3:B11" firstHeaderRow="1" firstDataRow="1" firstDataCol="1"/>
  <pivotFields count="13">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pivotField numFmtId="164" showAll="0"/>
    <pivotField numFmtId="14" showAll="0"/>
    <pivotField numFmtId="164"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2"/>
        <item x="0"/>
        <item x="3"/>
        <item x="1"/>
        <item t="default"/>
      </items>
    </pivotField>
    <pivotField showAll="0"/>
    <pivotField axis="axisRow" showAll="0">
      <items count="8">
        <item x="1"/>
        <item x="5"/>
        <item x="3"/>
        <item x="2"/>
        <item x="0"/>
        <item x="4"/>
        <item x="6"/>
        <item t="default"/>
      </items>
    </pivotField>
    <pivotField showAll="0">
      <items count="5">
        <item x="0"/>
        <item x="2"/>
        <item x="3"/>
        <item x="1"/>
        <item t="default"/>
      </items>
    </pivotField>
    <pivotField showAll="0"/>
  </pivotFields>
  <rowFields count="1">
    <field x="10"/>
  </rowFields>
  <rowItems count="8">
    <i>
      <x/>
    </i>
    <i>
      <x v="1"/>
    </i>
    <i>
      <x v="2"/>
    </i>
    <i>
      <x v="3"/>
    </i>
    <i>
      <x v="4"/>
    </i>
    <i>
      <x v="5"/>
    </i>
    <i>
      <x v="6"/>
    </i>
    <i t="grand">
      <x/>
    </i>
  </rowItems>
  <colItems count="1">
    <i/>
  </colItems>
  <dataFields count="1">
    <dataField name="Count of ticket_id" fld="0"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417499-72C9-4E23-A387-DE7CF67578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ssigned_Aanalyst">
  <location ref="A139:C150" firstHeaderRow="0" firstDataRow="1" firstDataCol="1"/>
  <pivotFields count="13">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pivotField numFmtId="164" showAll="0"/>
    <pivotField numFmtId="14" showAll="0"/>
    <pivotField numFmtId="164" showAll="0"/>
    <pivotField showAll="0">
      <items count="8">
        <item x="3"/>
        <item x="6"/>
        <item x="2"/>
        <item x="4"/>
        <item x="0"/>
        <item x="5"/>
        <item x="1"/>
        <item t="default"/>
      </items>
    </pivotField>
    <pivotField axis="axisRow" showAll="0">
      <items count="11">
        <item x="7"/>
        <item x="6"/>
        <item x="5"/>
        <item x="3"/>
        <item x="4"/>
        <item x="9"/>
        <item x="8"/>
        <item x="2"/>
        <item x="1"/>
        <item x="0"/>
        <item t="default"/>
      </items>
    </pivotField>
    <pivotField showAll="0"/>
    <pivotField showAll="0">
      <items count="5">
        <item x="2"/>
        <item x="0"/>
        <item x="3"/>
        <item x="1"/>
        <item t="default"/>
      </items>
    </pivotField>
    <pivotField dataField="1" showAll="0"/>
    <pivotField showAll="0">
      <items count="8">
        <item x="1"/>
        <item x="5"/>
        <item x="3"/>
        <item x="2"/>
        <item x="0"/>
        <item x="4"/>
        <item x="6"/>
        <item t="default"/>
      </items>
    </pivotField>
    <pivotField showAll="0">
      <items count="5">
        <item x="0"/>
        <item x="2"/>
        <item x="3"/>
        <item x="1"/>
        <item t="default"/>
      </items>
    </pivotField>
    <pivotField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Count of ticket_id" fld="0" subtotal="count" baseField="6" baseItem="0" numFmtId="1"/>
    <dataField name="Average of Resolution_time(hrs)" fld="9" subtotal="average" baseField="0" baseItem="0" numFmtId="2"/>
  </dataFields>
  <formats count="2">
    <format dxfId="24">
      <pivotArea outline="0" collapsedLevelsAreSubtotals="1" fieldPosition="0"/>
    </format>
    <format dxfId="25">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3BFC25-1315-4BF2-87B5-32865C861A3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iority">
  <location ref="A96:B101" firstHeaderRow="1" firstDataRow="1" firstDataCol="1"/>
  <pivotFields count="13">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pivotField numFmtId="164" showAll="0"/>
    <pivotField numFmtId="14" showAll="0"/>
    <pivotField numFmtId="164"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axis="axisRow" showAll="0">
      <items count="5">
        <item x="2"/>
        <item x="0"/>
        <item x="3"/>
        <item x="1"/>
        <item t="default"/>
      </items>
    </pivotField>
    <pivotField dataField="1" showAll="0"/>
    <pivotField showAll="0">
      <items count="8">
        <item x="1"/>
        <item x="5"/>
        <item x="3"/>
        <item x="2"/>
        <item x="0"/>
        <item x="4"/>
        <item x="6"/>
        <item t="default"/>
      </items>
    </pivotField>
    <pivotField showAll="0">
      <items count="5">
        <item x="0"/>
        <item x="2"/>
        <item x="3"/>
        <item x="1"/>
        <item t="default"/>
      </items>
    </pivotField>
    <pivotField showAll="0"/>
  </pivotFields>
  <rowFields count="1">
    <field x="8"/>
  </rowFields>
  <rowItems count="5">
    <i>
      <x/>
    </i>
    <i>
      <x v="1"/>
    </i>
    <i>
      <x v="2"/>
    </i>
    <i>
      <x v="3"/>
    </i>
    <i t="grand">
      <x/>
    </i>
  </rowItems>
  <colItems count="1">
    <i/>
  </colItems>
  <dataFields count="1">
    <dataField name="Average of Resolution_time(hrs)" fld="9" subtotal="average" baseField="0" baseItem="0" numFmtId="2"/>
  </dataFields>
  <formats count="1">
    <format dxfId="4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AC608A-0474-45FA-AD5D-AEC97E5D46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76:B84" firstHeaderRow="1" firstDataRow="1" firstDataCol="1"/>
  <pivotFields count="13">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pivotField numFmtId="164" showAll="0"/>
    <pivotField numFmtId="14" showAll="0"/>
    <pivotField numFmtId="164" showAll="0"/>
    <pivotField axis="axisRow"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2"/>
        <item x="0"/>
        <item x="3"/>
        <item x="1"/>
        <item t="default"/>
      </items>
    </pivotField>
    <pivotField dataField="1" showAll="0"/>
    <pivotField showAll="0">
      <items count="8">
        <item x="1"/>
        <item x="5"/>
        <item x="3"/>
        <item x="2"/>
        <item x="0"/>
        <item x="4"/>
        <item x="6"/>
        <item t="default"/>
      </items>
    </pivotField>
    <pivotField showAll="0">
      <items count="5">
        <item x="0"/>
        <item x="2"/>
        <item x="3"/>
        <item x="1"/>
        <item t="default"/>
      </items>
    </pivotField>
    <pivotField showAll="0"/>
  </pivotFields>
  <rowFields count="1">
    <field x="5"/>
  </rowFields>
  <rowItems count="8">
    <i>
      <x/>
    </i>
    <i>
      <x v="1"/>
    </i>
    <i>
      <x v="2"/>
    </i>
    <i>
      <x v="3"/>
    </i>
    <i>
      <x v="4"/>
    </i>
    <i>
      <x v="5"/>
    </i>
    <i>
      <x v="6"/>
    </i>
    <i t="grand">
      <x/>
    </i>
  </rowItems>
  <colItems count="1">
    <i/>
  </colItems>
  <dataFields count="1">
    <dataField name="Average of Resolution_time(hrs)" fld="9" subtotal="average" baseField="0" baseItem="0" numFmtId="2"/>
  </dataFields>
  <formats count="1">
    <format dxfId="42">
      <pivotArea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7D7461-88C4-48D9-9930-B4FD740CF191}"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ay_Hour">
  <location ref="A38:B63" firstHeaderRow="1" firstDataRow="1" firstDataCol="1"/>
  <pivotFields count="13">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pivotField numFmtId="164" showAll="0"/>
    <pivotField numFmtId="14" showAll="0"/>
    <pivotField numFmtId="164"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2"/>
        <item x="0"/>
        <item x="3"/>
        <item x="1"/>
        <item t="default"/>
      </items>
    </pivotField>
    <pivotField showAll="0"/>
    <pivotField showAll="0">
      <items count="8">
        <item x="1"/>
        <item x="5"/>
        <item x="3"/>
        <item x="2"/>
        <item x="0"/>
        <item x="4"/>
        <item x="6"/>
        <item t="default"/>
      </items>
    </pivotField>
    <pivotField showAll="0">
      <items count="5">
        <item x="0"/>
        <item x="2"/>
        <item x="3"/>
        <item x="1"/>
        <item t="default"/>
      </items>
    </pivotField>
    <pivotField axis="axisRow" showAll="0">
      <items count="25">
        <item x="17"/>
        <item x="11"/>
        <item x="21"/>
        <item x="15"/>
        <item x="23"/>
        <item x="16"/>
        <item x="22"/>
        <item x="7"/>
        <item x="19"/>
        <item x="2"/>
        <item x="6"/>
        <item x="12"/>
        <item x="14"/>
        <item x="10"/>
        <item x="9"/>
        <item x="20"/>
        <item x="8"/>
        <item x="3"/>
        <item x="18"/>
        <item x="1"/>
        <item x="5"/>
        <item x="4"/>
        <item x="0"/>
        <item x="13"/>
        <item t="default"/>
      </items>
    </pivotField>
  </pivotFields>
  <rowFields count="1">
    <field x="1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988480-8593-4600-8447-90946CED9D0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ay_Month">
  <location ref="A24:B29" firstHeaderRow="1" firstDataRow="1" firstDataCol="1"/>
  <pivotFields count="13">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pivotField numFmtId="164" showAll="0"/>
    <pivotField numFmtId="14" showAll="0"/>
    <pivotField numFmtId="164"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2"/>
        <item x="0"/>
        <item x="3"/>
        <item x="1"/>
        <item t="default"/>
      </items>
    </pivotField>
    <pivotField showAll="0"/>
    <pivotField showAll="0">
      <items count="8">
        <item x="1"/>
        <item x="5"/>
        <item x="3"/>
        <item x="2"/>
        <item x="0"/>
        <item x="4"/>
        <item x="6"/>
        <item t="default"/>
      </items>
    </pivotField>
    <pivotField axis="axisRow" showAll="0">
      <items count="5">
        <item x="0"/>
        <item x="2"/>
        <item x="3"/>
        <item x="1"/>
        <item t="default"/>
      </items>
    </pivotField>
    <pivotField showAll="0"/>
  </pivotFields>
  <rowFields count="1">
    <field x="11"/>
  </rowFields>
  <rowItems count="5">
    <i>
      <x/>
    </i>
    <i>
      <x v="1"/>
    </i>
    <i>
      <x v="2"/>
    </i>
    <i>
      <x v="3"/>
    </i>
    <i t="grand">
      <x/>
    </i>
  </rowItems>
  <colItems count="1">
    <i/>
  </colItems>
  <dataFields count="1">
    <dataField name="Count of ticket_id" fld="0" subtotal="count"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7D90DA-7DE1-43D3-84B2-8E7888C035AE}" autoFormatId="16" applyNumberFormats="0" applyBorderFormats="0" applyFontFormats="0" applyPatternFormats="0" applyAlignmentFormats="0" applyWidthHeightFormats="0">
  <queryTableRefresh nextId="14" unboundColumnsRight="4">
    <queryTableFields count="13">
      <queryTableField id="1" name="ticket_id" tableColumnId="1"/>
      <queryTableField id="2" name="submission_date.1" tableColumnId="2"/>
      <queryTableField id="3" name="submission_time" tableColumnId="3"/>
      <queryTableField id="4" name="resolution_date" tableColumnId="4"/>
      <queryTableField id="5" name="resolution_time" tableColumnId="5"/>
      <queryTableField id="6" name="category" tableColumnId="6"/>
      <queryTableField id="7" name="assigned_analyst" tableColumnId="7"/>
      <queryTableField id="8" name="description" tableColumnId="8"/>
      <queryTableField id="9" name="priority" tableColumnId="9"/>
      <queryTableField id="10" dataBound="0" tableColumnId="10"/>
      <queryTableField id="11" dataBound="0"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analyst" xr10:uid="{67ED120E-2FC7-4E50-BC9F-7C7FDFBC6D3A}" sourceName="assigned_analyst">
  <pivotTables>
    <pivotTable tabId="3" name="PivotTable6"/>
    <pivotTable tabId="3" name="PivotTable1"/>
    <pivotTable tabId="3" name="PivotTable2"/>
    <pivotTable tabId="3" name="PivotTable3"/>
    <pivotTable tabId="3" name="PivotTable4"/>
    <pivotTable tabId="3" name="PivotTable5"/>
  </pivotTables>
  <data>
    <tabular pivotCacheId="122788513">
      <items count="10">
        <i x="7" s="1"/>
        <i x="6" s="1"/>
        <i x="5" s="1"/>
        <i x="3" s="1"/>
        <i x="4" s="1"/>
        <i x="9" s="1"/>
        <i x="8"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3D55BE7B-A636-410A-8FE5-F22D28E0A610}" sourceName="priority">
  <pivotTables>
    <pivotTable tabId="3" name="PivotTable5"/>
    <pivotTable tabId="3" name="PivotTable1"/>
    <pivotTable tabId="3" name="PivotTable2"/>
    <pivotTable tabId="3" name="PivotTable3"/>
    <pivotTable tabId="3" name="PivotTable4"/>
    <pivotTable tabId="3" name="PivotTable6"/>
  </pivotTables>
  <data>
    <tabular pivotCacheId="122788513">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757AB7-65F9-4104-BE57-3550F4E99E02}" sourceName="category">
  <pivotTables>
    <pivotTable tabId="3" name="PivotTable4"/>
    <pivotTable tabId="3" name="PivotTable1"/>
    <pivotTable tabId="3" name="PivotTable2"/>
    <pivotTable tabId="3" name="PivotTable3"/>
    <pivotTable tabId="3" name="PivotTable5"/>
    <pivotTable tabId="3" name="PivotTable6"/>
  </pivotTables>
  <data>
    <tabular pivotCacheId="122788513">
      <items count="7">
        <i x="3" s="1"/>
        <i x="6" s="1"/>
        <i x="2" s="1"/>
        <i x="4" s="1"/>
        <i x="0"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Month" xr10:uid="{06C2CF78-A386-4F75-9EAB-28D7AA3E3C2F}" sourceName="Day_Month">
  <pivotTables>
    <pivotTable tabId="3" name="PivotTable2"/>
    <pivotTable tabId="3" name="PivotTable1"/>
    <pivotTable tabId="3" name="PivotTable3"/>
    <pivotTable tabId="3" name="PivotTable4"/>
    <pivotTable tabId="3" name="PivotTable5"/>
    <pivotTable tabId="3" name="PivotTable6"/>
  </pivotTables>
  <data>
    <tabular pivotCacheId="122788513">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igned_analyst" xr10:uid="{5D876A16-6266-48EF-B936-F55A36846F7D}" cache="Slicer_assigned_analyst" caption="assigned_analyst" rowHeight="241300"/>
  <slicer name="priority" xr10:uid="{0E0A1A76-2A09-4782-8D96-BFB2DE37E1EF}" cache="Slicer_priority" caption="priority" rowHeight="241300"/>
  <slicer name="category" xr10:uid="{F58F4EF5-CAF0-4BD2-A095-0D04319FDAA1}" cache="Slicer_category" caption="category" rowHeight="241300"/>
  <slicer name="Day_Month" xr10:uid="{57D32544-BF30-45CB-A39F-CFC7DF0917B3}" cache="Slicer_Day_Month" caption="Day_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igned_analyst 1" xr10:uid="{D11CF650-BBC6-4C7A-B0AC-5DB47FBFB63F}" cache="Slicer_assigned_analyst" caption="assigned_analyst" rowHeight="241300"/>
  <slicer name="priority 1" xr10:uid="{60F31F95-6703-4A0A-BA95-300C865DA8A1}" cache="Slicer_priority" caption="priority" rowHeight="241300"/>
  <slicer name="category 1" xr10:uid="{98A61871-717E-4A0D-ABA9-8F3FE62A5D6F}" cache="Slicer_category" caption="category" rowHeight="241300"/>
  <slicer name="Day_Month 1" xr10:uid="{618C15CF-E401-462D-A1E8-DAB5B158B9C2}" cache="Slicer_Day_Month" caption="Day_Month"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10033F-83A2-4BCF-A9F4-1A347322C150}" name="Table1" displayName="Table1" ref="A1:G151" totalsRowShown="0">
  <autoFilter ref="A1:G151" xr:uid="{8C10033F-83A2-4BCF-A9F4-1A347322C150}"/>
  <tableColumns count="7">
    <tableColumn id="1" xr3:uid="{2D24BBCB-C6F8-4234-94AB-1FAAE1BA231E}" name="ticket_id"/>
    <tableColumn id="2" xr3:uid="{83A76093-43FF-45E2-8EAE-AE0E5E29CD6C}" name="submission_date" dataDxfId="40"/>
    <tableColumn id="3" xr3:uid="{6DC40697-D4E0-4298-AEAB-B9F050B641FD}" name="resolution_date" dataDxfId="39"/>
    <tableColumn id="4" xr3:uid="{36DD5C98-27A3-4E47-B1D6-F7DF6AF0977D}" name="category"/>
    <tableColumn id="5" xr3:uid="{51CBD6ED-071F-47D7-A6EC-93B5AE62EC5A}" name="assigned_analyst"/>
    <tableColumn id="6" xr3:uid="{4CEFDDD6-AC06-4062-824C-7CDCBB1FAE9F}" name="description"/>
    <tableColumn id="7" xr3:uid="{ABDEEE2C-130E-4828-8746-FCD34976390E}" name="prior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CCECC7-3457-4207-93B0-892FDC4F4125}" name="Cleaned_Data" displayName="Cleaned_Data" ref="A1:M151" tableType="queryTable" totalsRowShown="0">
  <autoFilter ref="A1:M151" xr:uid="{C7CCECC7-3457-4207-93B0-892FDC4F4125}"/>
  <tableColumns count="13">
    <tableColumn id="1" xr3:uid="{469DDDFB-BB61-4526-8ACF-8AC4089723F0}" uniqueName="1" name="ticket_id" queryTableFieldId="1" dataDxfId="38"/>
    <tableColumn id="2" xr3:uid="{EC84F26D-744D-41C7-A4D2-1A42BB49ADE7}" uniqueName="2" name="submission_date" queryTableFieldId="2" dataDxfId="37"/>
    <tableColumn id="3" xr3:uid="{B790683E-1297-460C-8918-66C352352549}" uniqueName="3" name="submission_time" queryTableFieldId="3" dataDxfId="36"/>
    <tableColumn id="4" xr3:uid="{806BC7FE-2033-468F-9C41-0BA3EE960EB5}" uniqueName="4" name="resolution_date" queryTableFieldId="4" dataDxfId="35"/>
    <tableColumn id="5" xr3:uid="{31AD3A0F-E3CA-4378-B10E-FCBFDC7BD11F}" uniqueName="5" name="resolution_time" queryTableFieldId="5" dataDxfId="34"/>
    <tableColumn id="6" xr3:uid="{C4ED6ABF-9E14-4B5B-9523-6F3B2DE45241}" uniqueName="6" name="category" queryTableFieldId="6" dataDxfId="33"/>
    <tableColumn id="7" xr3:uid="{9AD16361-4818-4B62-ABCE-B851CEA925C9}" uniqueName="7" name="assigned_analyst" queryTableFieldId="7" dataDxfId="32"/>
    <tableColumn id="8" xr3:uid="{A209BA58-3600-4986-A293-0F9036B4732E}" uniqueName="8" name="description" queryTableFieldId="8" dataDxfId="31"/>
    <tableColumn id="9" xr3:uid="{50295B0B-AB7E-4300-BB7F-1E7638CD9C6E}" uniqueName="9" name="priority" queryTableFieldId="9" dataDxfId="30"/>
    <tableColumn id="10" xr3:uid="{4D512BE7-4603-4061-BCB6-12F7AFB21CBF}" uniqueName="10" name="Resolution_time(hrs)" queryTableFieldId="10" dataDxfId="29">
      <calculatedColumnFormula>(D2-B2)*24</calculatedColumnFormula>
    </tableColumn>
    <tableColumn id="11" xr3:uid="{1F26C544-656F-4E31-B3E1-9C2AE2792772}" uniqueName="11" name="Day_week" queryTableFieldId="11" dataDxfId="28">
      <calculatedColumnFormula>TEXT(Cleaned_Data[[#This Row],[submission_date]],"ddd")</calculatedColumnFormula>
    </tableColumn>
    <tableColumn id="12" xr3:uid="{5C02F62E-CD37-4822-B2B5-8DC27DE9E3C9}" uniqueName="12" name="Day_Month" queryTableFieldId="12" dataDxfId="27">
      <calculatedColumnFormula>TEXT(Cleaned_Data[[#This Row],[submission_date]],"MMM")</calculatedColumnFormula>
    </tableColumn>
    <tableColumn id="13" xr3:uid="{6DE9D5AD-D8A6-45DA-9BE6-742044CF708B}" uniqueName="13" name="Hour_day" queryTableFieldId="13" dataDxfId="26">
      <calculatedColumnFormula>HOUR(Cleaned_Data[[#This Row],[submission_time]])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71773-2A25-439E-AA81-007CB4E63A63}">
  <dimension ref="A1:G151"/>
  <sheetViews>
    <sheetView topLeftCell="A2" workbookViewId="0">
      <selection activeCell="A2" sqref="A2:G151"/>
    </sheetView>
  </sheetViews>
  <sheetFormatPr defaultRowHeight="14.5" x14ac:dyDescent="0.35"/>
  <cols>
    <col min="1" max="1" width="11.08984375" bestFit="1" customWidth="1"/>
    <col min="2" max="2" width="17" customWidth="1"/>
    <col min="3" max="3" width="16.1796875" customWidth="1"/>
    <col min="4" max="4" width="10" customWidth="1"/>
    <col min="5" max="5" width="17" customWidth="1"/>
    <col min="6" max="6" width="100.36328125" bestFit="1" customWidth="1"/>
    <col min="7" max="7" width="9" customWidth="1"/>
  </cols>
  <sheetData>
    <row r="1" spans="1:7" x14ac:dyDescent="0.35">
      <c r="A1" t="s">
        <v>0</v>
      </c>
      <c r="B1" t="s">
        <v>1</v>
      </c>
      <c r="C1" t="s">
        <v>2</v>
      </c>
      <c r="D1" t="s">
        <v>3</v>
      </c>
      <c r="E1" t="s">
        <v>4</v>
      </c>
      <c r="F1" t="s">
        <v>5</v>
      </c>
      <c r="G1" t="s">
        <v>6</v>
      </c>
    </row>
    <row r="2" spans="1:7" x14ac:dyDescent="0.35">
      <c r="A2" t="s">
        <v>7</v>
      </c>
      <c r="B2" s="1">
        <v>45835.941851550924</v>
      </c>
      <c r="C2" s="1">
        <v>45836.157414861111</v>
      </c>
      <c r="D2" t="s">
        <v>8</v>
      </c>
      <c r="E2" t="s">
        <v>9</v>
      </c>
      <c r="F2" t="s">
        <v>10</v>
      </c>
      <c r="G2" t="s">
        <v>11</v>
      </c>
    </row>
    <row r="3" spans="1:7" x14ac:dyDescent="0.35">
      <c r="A3" t="s">
        <v>12</v>
      </c>
      <c r="B3" s="1">
        <v>45901.811099571758</v>
      </c>
      <c r="C3" s="1">
        <v>45903.304233009258</v>
      </c>
      <c r="D3" t="s">
        <v>13</v>
      </c>
      <c r="E3" t="s">
        <v>14</v>
      </c>
      <c r="F3" t="s">
        <v>15</v>
      </c>
      <c r="G3" t="s">
        <v>16</v>
      </c>
    </row>
    <row r="4" spans="1:7" x14ac:dyDescent="0.35">
      <c r="A4" t="s">
        <v>17</v>
      </c>
      <c r="B4" s="1">
        <v>45904.397251620372</v>
      </c>
      <c r="C4" s="1">
        <v>45905.993478182871</v>
      </c>
      <c r="D4" t="s">
        <v>8</v>
      </c>
      <c r="E4" t="s">
        <v>18</v>
      </c>
      <c r="F4" t="s">
        <v>19</v>
      </c>
      <c r="G4" t="s">
        <v>16</v>
      </c>
    </row>
    <row r="5" spans="1:7" x14ac:dyDescent="0.35">
      <c r="A5" t="s">
        <v>20</v>
      </c>
      <c r="B5" s="1">
        <v>45866.74136521991</v>
      </c>
      <c r="C5" s="1">
        <v>45867.068278460647</v>
      </c>
      <c r="D5" t="s">
        <v>21</v>
      </c>
      <c r="E5" t="s">
        <v>22</v>
      </c>
      <c r="F5" t="s">
        <v>23</v>
      </c>
      <c r="G5" t="s">
        <v>11</v>
      </c>
    </row>
    <row r="6" spans="1:7" x14ac:dyDescent="0.35">
      <c r="A6" t="s">
        <v>24</v>
      </c>
      <c r="B6" s="1">
        <v>45903.907044259257</v>
      </c>
      <c r="C6" s="1">
        <v>45904.286888356481</v>
      </c>
      <c r="D6" t="s">
        <v>13</v>
      </c>
      <c r="E6" t="s">
        <v>25</v>
      </c>
      <c r="F6" t="s">
        <v>26</v>
      </c>
      <c r="G6" t="s">
        <v>11</v>
      </c>
    </row>
    <row r="7" spans="1:7" x14ac:dyDescent="0.35">
      <c r="A7" t="s">
        <v>27</v>
      </c>
      <c r="B7" s="1">
        <v>45873.856022060187</v>
      </c>
      <c r="C7" s="1">
        <v>45879.411592372686</v>
      </c>
      <c r="D7" t="s">
        <v>13</v>
      </c>
      <c r="E7" t="s">
        <v>18</v>
      </c>
      <c r="F7" t="s">
        <v>28</v>
      </c>
      <c r="G7" t="s">
        <v>29</v>
      </c>
    </row>
    <row r="8" spans="1:7" x14ac:dyDescent="0.35">
      <c r="A8" t="s">
        <v>30</v>
      </c>
      <c r="B8" s="1">
        <v>45891.443237013889</v>
      </c>
      <c r="C8" s="1">
        <v>45892.591544884257</v>
      </c>
      <c r="D8" t="s">
        <v>31</v>
      </c>
      <c r="E8" t="s">
        <v>32</v>
      </c>
      <c r="F8" t="s">
        <v>33</v>
      </c>
      <c r="G8" t="s">
        <v>29</v>
      </c>
    </row>
    <row r="9" spans="1:7" x14ac:dyDescent="0.35">
      <c r="A9" t="s">
        <v>34</v>
      </c>
      <c r="B9" s="1">
        <v>45843.321851516201</v>
      </c>
      <c r="C9" s="1">
        <v>45847.851614560182</v>
      </c>
      <c r="D9" t="s">
        <v>13</v>
      </c>
      <c r="E9" t="s">
        <v>35</v>
      </c>
      <c r="F9" t="s">
        <v>36</v>
      </c>
      <c r="G9" t="s">
        <v>29</v>
      </c>
    </row>
    <row r="10" spans="1:7" x14ac:dyDescent="0.35">
      <c r="A10" t="s">
        <v>37</v>
      </c>
      <c r="B10" s="1">
        <v>45845.695295972226</v>
      </c>
      <c r="C10" s="1">
        <v>45846.419769224536</v>
      </c>
      <c r="D10" t="s">
        <v>21</v>
      </c>
      <c r="E10" t="s">
        <v>35</v>
      </c>
      <c r="F10" t="s">
        <v>38</v>
      </c>
      <c r="G10" t="s">
        <v>16</v>
      </c>
    </row>
    <row r="11" spans="1:7" x14ac:dyDescent="0.35">
      <c r="A11" t="s">
        <v>39</v>
      </c>
      <c r="B11" s="1">
        <v>45910.617740428243</v>
      </c>
      <c r="C11" s="1">
        <v>45911.83237329861</v>
      </c>
      <c r="D11" t="s">
        <v>13</v>
      </c>
      <c r="E11" t="s">
        <v>18</v>
      </c>
      <c r="F11" t="s">
        <v>40</v>
      </c>
      <c r="G11" t="s">
        <v>16</v>
      </c>
    </row>
    <row r="12" spans="1:7" x14ac:dyDescent="0.35">
      <c r="A12" t="s">
        <v>41</v>
      </c>
      <c r="B12" s="1">
        <v>45896.555576689818</v>
      </c>
      <c r="C12" s="1">
        <v>45902.686473993053</v>
      </c>
      <c r="D12" t="s">
        <v>13</v>
      </c>
      <c r="E12" t="s">
        <v>42</v>
      </c>
      <c r="F12" t="s">
        <v>43</v>
      </c>
      <c r="G12" t="s">
        <v>29</v>
      </c>
    </row>
    <row r="13" spans="1:7" x14ac:dyDescent="0.35">
      <c r="A13" t="s">
        <v>44</v>
      </c>
      <c r="B13" s="1">
        <v>45832.080772222223</v>
      </c>
      <c r="C13" s="1">
        <v>45832.240656608796</v>
      </c>
      <c r="D13" t="s">
        <v>45</v>
      </c>
      <c r="E13" t="s">
        <v>46</v>
      </c>
      <c r="F13" t="s">
        <v>47</v>
      </c>
      <c r="G13" t="s">
        <v>11</v>
      </c>
    </row>
    <row r="14" spans="1:7" x14ac:dyDescent="0.35">
      <c r="A14" t="s">
        <v>48</v>
      </c>
      <c r="B14" s="1">
        <v>45836.410961250003</v>
      </c>
      <c r="C14" s="1">
        <v>45837.124087824071</v>
      </c>
      <c r="D14" t="s">
        <v>45</v>
      </c>
      <c r="E14" t="s">
        <v>9</v>
      </c>
      <c r="F14" t="s">
        <v>49</v>
      </c>
      <c r="G14" t="s">
        <v>16</v>
      </c>
    </row>
    <row r="15" spans="1:7" x14ac:dyDescent="0.35">
      <c r="A15" t="s">
        <v>50</v>
      </c>
      <c r="B15" s="1">
        <v>45860.381175960647</v>
      </c>
      <c r="C15" s="1">
        <v>45864.663007314812</v>
      </c>
      <c r="D15" t="s">
        <v>13</v>
      </c>
      <c r="E15" t="s">
        <v>35</v>
      </c>
      <c r="F15" t="s">
        <v>51</v>
      </c>
      <c r="G15" t="s">
        <v>29</v>
      </c>
    </row>
    <row r="16" spans="1:7" x14ac:dyDescent="0.35">
      <c r="A16" t="s">
        <v>52</v>
      </c>
      <c r="B16" s="1">
        <v>45847.939561203704</v>
      </c>
      <c r="C16" s="1">
        <v>45848.049673634261</v>
      </c>
      <c r="D16" t="s">
        <v>13</v>
      </c>
      <c r="E16" t="s">
        <v>14</v>
      </c>
      <c r="F16" t="s">
        <v>53</v>
      </c>
      <c r="G16" t="s">
        <v>11</v>
      </c>
    </row>
    <row r="17" spans="1:7" x14ac:dyDescent="0.35">
      <c r="A17" t="s">
        <v>54</v>
      </c>
      <c r="B17" s="1">
        <v>45861.940402638887</v>
      </c>
      <c r="C17" s="1">
        <v>45862.05557290509</v>
      </c>
      <c r="D17" t="s">
        <v>13</v>
      </c>
      <c r="E17" t="s">
        <v>55</v>
      </c>
      <c r="F17" t="s">
        <v>56</v>
      </c>
      <c r="G17" t="s">
        <v>11</v>
      </c>
    </row>
    <row r="18" spans="1:7" x14ac:dyDescent="0.35">
      <c r="A18" t="s">
        <v>57</v>
      </c>
      <c r="B18" s="1">
        <v>45875.49450458333</v>
      </c>
      <c r="C18" s="1">
        <v>45880.346445115742</v>
      </c>
      <c r="D18" t="s">
        <v>13</v>
      </c>
      <c r="E18" t="s">
        <v>35</v>
      </c>
      <c r="F18" t="s">
        <v>58</v>
      </c>
      <c r="G18" t="s">
        <v>29</v>
      </c>
    </row>
    <row r="19" spans="1:7" x14ac:dyDescent="0.35">
      <c r="A19" t="s">
        <v>59</v>
      </c>
      <c r="B19" s="1">
        <v>45838.695992071756</v>
      </c>
      <c r="C19" s="1">
        <v>45840.859242071761</v>
      </c>
      <c r="D19" t="s">
        <v>60</v>
      </c>
      <c r="E19" t="s">
        <v>9</v>
      </c>
      <c r="F19" t="s">
        <v>61</v>
      </c>
      <c r="G19" t="s">
        <v>29</v>
      </c>
    </row>
    <row r="20" spans="1:7" x14ac:dyDescent="0.35">
      <c r="A20" t="s">
        <v>62</v>
      </c>
      <c r="B20" s="1">
        <v>45838.960468067133</v>
      </c>
      <c r="C20" s="1">
        <v>45842.491957118058</v>
      </c>
      <c r="D20" t="s">
        <v>45</v>
      </c>
      <c r="E20" t="s">
        <v>22</v>
      </c>
      <c r="F20" t="s">
        <v>63</v>
      </c>
      <c r="G20" t="s">
        <v>29</v>
      </c>
    </row>
    <row r="21" spans="1:7" x14ac:dyDescent="0.35">
      <c r="A21" t="s">
        <v>64</v>
      </c>
      <c r="B21" s="1">
        <v>45841.310591307869</v>
      </c>
      <c r="C21" s="1">
        <v>45842.999058043984</v>
      </c>
      <c r="D21" t="s">
        <v>21</v>
      </c>
      <c r="E21" t="s">
        <v>22</v>
      </c>
      <c r="F21" t="s">
        <v>65</v>
      </c>
      <c r="G21" t="s">
        <v>16</v>
      </c>
    </row>
    <row r="22" spans="1:7" x14ac:dyDescent="0.35">
      <c r="A22" t="s">
        <v>66</v>
      </c>
      <c r="B22" s="1">
        <v>45831.951130162037</v>
      </c>
      <c r="C22" s="1">
        <v>45833.462965312501</v>
      </c>
      <c r="D22" t="s">
        <v>13</v>
      </c>
      <c r="E22" t="s">
        <v>14</v>
      </c>
      <c r="F22" t="s">
        <v>67</v>
      </c>
      <c r="G22" t="s">
        <v>16</v>
      </c>
    </row>
    <row r="23" spans="1:7" x14ac:dyDescent="0.35">
      <c r="A23" t="s">
        <v>68</v>
      </c>
      <c r="B23" s="1">
        <v>45846.482601527779</v>
      </c>
      <c r="C23" s="1">
        <v>45848.392504687501</v>
      </c>
      <c r="D23" t="s">
        <v>13</v>
      </c>
      <c r="E23" t="s">
        <v>9</v>
      </c>
      <c r="F23" t="s">
        <v>69</v>
      </c>
      <c r="G23" t="s">
        <v>16</v>
      </c>
    </row>
    <row r="24" spans="1:7" x14ac:dyDescent="0.35">
      <c r="A24" t="s">
        <v>70</v>
      </c>
      <c r="B24" s="1">
        <v>45830.978999976855</v>
      </c>
      <c r="C24" s="1">
        <v>45831.690442743056</v>
      </c>
      <c r="D24" t="s">
        <v>13</v>
      </c>
      <c r="E24" t="s">
        <v>42</v>
      </c>
      <c r="F24" t="s">
        <v>71</v>
      </c>
      <c r="G24" t="s">
        <v>16</v>
      </c>
    </row>
    <row r="25" spans="1:7" x14ac:dyDescent="0.35">
      <c r="A25" t="s">
        <v>72</v>
      </c>
      <c r="B25" s="1">
        <v>45898.519360115744</v>
      </c>
      <c r="C25" s="1">
        <v>45900.18315665509</v>
      </c>
      <c r="D25" t="s">
        <v>13</v>
      </c>
      <c r="E25" t="s">
        <v>25</v>
      </c>
      <c r="F25" t="s">
        <v>73</v>
      </c>
      <c r="G25" t="s">
        <v>16</v>
      </c>
    </row>
    <row r="26" spans="1:7" x14ac:dyDescent="0.35">
      <c r="A26" t="s">
        <v>74</v>
      </c>
      <c r="B26" s="1">
        <v>45850.151124652781</v>
      </c>
      <c r="C26" s="1">
        <v>45854.404572488427</v>
      </c>
      <c r="D26" t="s">
        <v>45</v>
      </c>
      <c r="E26" t="s">
        <v>22</v>
      </c>
      <c r="F26" t="s">
        <v>75</v>
      </c>
      <c r="G26" t="s">
        <v>29</v>
      </c>
    </row>
    <row r="27" spans="1:7" x14ac:dyDescent="0.35">
      <c r="A27" t="s">
        <v>76</v>
      </c>
      <c r="B27" s="1">
        <v>45851.238076643516</v>
      </c>
      <c r="C27" s="1">
        <v>45852.816654155089</v>
      </c>
      <c r="D27" t="s">
        <v>13</v>
      </c>
      <c r="E27" t="s">
        <v>14</v>
      </c>
      <c r="F27" t="s">
        <v>77</v>
      </c>
      <c r="G27" t="s">
        <v>16</v>
      </c>
    </row>
    <row r="28" spans="1:7" x14ac:dyDescent="0.35">
      <c r="A28" t="s">
        <v>78</v>
      </c>
      <c r="B28" s="1">
        <v>45832.01864923611</v>
      </c>
      <c r="C28" s="1">
        <v>45832.510323969909</v>
      </c>
      <c r="D28" t="s">
        <v>45</v>
      </c>
      <c r="E28" t="s">
        <v>25</v>
      </c>
      <c r="F28" t="s">
        <v>79</v>
      </c>
      <c r="G28" t="s">
        <v>11</v>
      </c>
    </row>
    <row r="29" spans="1:7" x14ac:dyDescent="0.35">
      <c r="A29" t="s">
        <v>80</v>
      </c>
      <c r="B29" s="1">
        <v>45841.81186765046</v>
      </c>
      <c r="C29" s="1">
        <v>45843.718911377313</v>
      </c>
      <c r="D29" t="s">
        <v>81</v>
      </c>
      <c r="E29" t="s">
        <v>14</v>
      </c>
      <c r="F29" t="s">
        <v>82</v>
      </c>
      <c r="G29" t="s">
        <v>16</v>
      </c>
    </row>
    <row r="30" spans="1:7" x14ac:dyDescent="0.35">
      <c r="A30" t="s">
        <v>83</v>
      </c>
      <c r="B30" s="1">
        <v>45915.543717083332</v>
      </c>
      <c r="C30" s="1">
        <v>45917.331455462961</v>
      </c>
      <c r="D30" t="s">
        <v>8</v>
      </c>
      <c r="E30" t="s">
        <v>9</v>
      </c>
      <c r="F30" t="s">
        <v>84</v>
      </c>
      <c r="G30" t="s">
        <v>29</v>
      </c>
    </row>
    <row r="31" spans="1:7" x14ac:dyDescent="0.35">
      <c r="A31" t="s">
        <v>85</v>
      </c>
      <c r="B31" s="1">
        <v>45896.914734548613</v>
      </c>
      <c r="C31" s="1">
        <v>45898.277047488424</v>
      </c>
      <c r="D31" t="s">
        <v>13</v>
      </c>
      <c r="E31" t="s">
        <v>18</v>
      </c>
      <c r="F31" t="s">
        <v>86</v>
      </c>
      <c r="G31" t="s">
        <v>16</v>
      </c>
    </row>
    <row r="32" spans="1:7" x14ac:dyDescent="0.35">
      <c r="A32" t="s">
        <v>87</v>
      </c>
      <c r="B32" s="1">
        <v>45899.845190624997</v>
      </c>
      <c r="C32" s="1">
        <v>45906.109850624998</v>
      </c>
      <c r="D32" t="s">
        <v>45</v>
      </c>
      <c r="E32" t="s">
        <v>18</v>
      </c>
      <c r="F32" t="s">
        <v>88</v>
      </c>
      <c r="G32" t="s">
        <v>29</v>
      </c>
    </row>
    <row r="33" spans="1:7" x14ac:dyDescent="0.35">
      <c r="A33" t="s">
        <v>89</v>
      </c>
      <c r="B33" s="1">
        <v>45893.999277337964</v>
      </c>
      <c r="C33" s="1">
        <v>45894.316192916667</v>
      </c>
      <c r="D33" t="s">
        <v>13</v>
      </c>
      <c r="E33" t="s">
        <v>14</v>
      </c>
      <c r="F33" t="s">
        <v>90</v>
      </c>
      <c r="G33" t="s">
        <v>11</v>
      </c>
    </row>
    <row r="34" spans="1:7" x14ac:dyDescent="0.35">
      <c r="A34" t="s">
        <v>91</v>
      </c>
      <c r="B34" s="1">
        <v>45849.75739244213</v>
      </c>
      <c r="C34" s="1">
        <v>45855.27821527778</v>
      </c>
      <c r="D34" t="s">
        <v>45</v>
      </c>
      <c r="E34" t="s">
        <v>35</v>
      </c>
      <c r="F34" t="s">
        <v>92</v>
      </c>
      <c r="G34" t="s">
        <v>29</v>
      </c>
    </row>
    <row r="35" spans="1:7" x14ac:dyDescent="0.35">
      <c r="A35" t="s">
        <v>93</v>
      </c>
      <c r="B35" s="1">
        <v>45904.814613437498</v>
      </c>
      <c r="C35" s="1">
        <v>45910.228323379626</v>
      </c>
      <c r="D35" t="s">
        <v>81</v>
      </c>
      <c r="E35" t="s">
        <v>32</v>
      </c>
      <c r="F35" t="s">
        <v>94</v>
      </c>
      <c r="G35" t="s">
        <v>29</v>
      </c>
    </row>
    <row r="36" spans="1:7" x14ac:dyDescent="0.35">
      <c r="A36" t="s">
        <v>95</v>
      </c>
      <c r="B36" s="1">
        <v>45893.712596354169</v>
      </c>
      <c r="C36" s="1">
        <v>45899.821769236114</v>
      </c>
      <c r="D36" t="s">
        <v>13</v>
      </c>
      <c r="E36" t="s">
        <v>25</v>
      </c>
      <c r="F36" t="s">
        <v>96</v>
      </c>
      <c r="G36" t="s">
        <v>29</v>
      </c>
    </row>
    <row r="37" spans="1:7" x14ac:dyDescent="0.35">
      <c r="A37" t="s">
        <v>97</v>
      </c>
      <c r="B37" s="1">
        <v>45838.741699282407</v>
      </c>
      <c r="C37" s="1">
        <v>45839.817210752313</v>
      </c>
      <c r="D37" t="s">
        <v>21</v>
      </c>
      <c r="E37" t="s">
        <v>14</v>
      </c>
      <c r="F37" t="s">
        <v>98</v>
      </c>
      <c r="G37" t="s">
        <v>29</v>
      </c>
    </row>
    <row r="38" spans="1:7" x14ac:dyDescent="0.35">
      <c r="A38" t="s">
        <v>99</v>
      </c>
      <c r="B38" s="1">
        <v>45909.36557869213</v>
      </c>
      <c r="C38" s="1">
        <v>45913.263069328706</v>
      </c>
      <c r="D38" t="s">
        <v>13</v>
      </c>
      <c r="E38" t="s">
        <v>46</v>
      </c>
      <c r="F38" t="s">
        <v>100</v>
      </c>
      <c r="G38" t="s">
        <v>29</v>
      </c>
    </row>
    <row r="39" spans="1:7" x14ac:dyDescent="0.35">
      <c r="A39" t="s">
        <v>101</v>
      </c>
      <c r="B39" s="1">
        <v>45880.455971180556</v>
      </c>
      <c r="C39" s="1">
        <v>45886.671748993052</v>
      </c>
      <c r="D39" t="s">
        <v>8</v>
      </c>
      <c r="E39" t="s">
        <v>42</v>
      </c>
      <c r="F39" t="s">
        <v>102</v>
      </c>
      <c r="G39" t="s">
        <v>29</v>
      </c>
    </row>
    <row r="40" spans="1:7" x14ac:dyDescent="0.35">
      <c r="A40" t="s">
        <v>103</v>
      </c>
      <c r="B40" s="1">
        <v>45901.680695057868</v>
      </c>
      <c r="C40" s="1">
        <v>45902.113242870371</v>
      </c>
      <c r="D40" t="s">
        <v>13</v>
      </c>
      <c r="E40" t="s">
        <v>32</v>
      </c>
      <c r="F40" t="s">
        <v>104</v>
      </c>
      <c r="G40" t="s">
        <v>16</v>
      </c>
    </row>
    <row r="41" spans="1:7" x14ac:dyDescent="0.35">
      <c r="A41" t="s">
        <v>105</v>
      </c>
      <c r="B41" s="1">
        <v>45883.854248391202</v>
      </c>
      <c r="C41" s="1">
        <v>45884.364103043983</v>
      </c>
      <c r="D41" t="s">
        <v>31</v>
      </c>
      <c r="E41" t="s">
        <v>35</v>
      </c>
      <c r="F41" t="s">
        <v>106</v>
      </c>
      <c r="G41" t="s">
        <v>16</v>
      </c>
    </row>
    <row r="42" spans="1:7" x14ac:dyDescent="0.35">
      <c r="A42" t="s">
        <v>107</v>
      </c>
      <c r="B42" s="1">
        <v>45905.24280886574</v>
      </c>
      <c r="C42" s="1">
        <v>45906.957953680554</v>
      </c>
      <c r="D42" t="s">
        <v>45</v>
      </c>
      <c r="E42" t="s">
        <v>9</v>
      </c>
      <c r="F42" t="s">
        <v>108</v>
      </c>
      <c r="G42" t="s">
        <v>16</v>
      </c>
    </row>
    <row r="43" spans="1:7" x14ac:dyDescent="0.35">
      <c r="A43" t="s">
        <v>109</v>
      </c>
      <c r="B43" s="1">
        <v>45913.768400347224</v>
      </c>
      <c r="C43" s="1">
        <v>45914.807395509262</v>
      </c>
      <c r="D43" t="s">
        <v>21</v>
      </c>
      <c r="E43" t="s">
        <v>14</v>
      </c>
      <c r="F43" t="s">
        <v>110</v>
      </c>
      <c r="G43" t="s">
        <v>29</v>
      </c>
    </row>
    <row r="44" spans="1:7" ht="29" x14ac:dyDescent="0.35">
      <c r="A44" t="s">
        <v>111</v>
      </c>
      <c r="B44" s="1">
        <v>45866.029443506945</v>
      </c>
      <c r="C44" s="1">
        <v>45872.45864300926</v>
      </c>
      <c r="D44" t="s">
        <v>81</v>
      </c>
      <c r="E44" t="s">
        <v>55</v>
      </c>
      <c r="F44" s="2" t="s">
        <v>112</v>
      </c>
      <c r="G44" t="s">
        <v>29</v>
      </c>
    </row>
    <row r="45" spans="1:7" x14ac:dyDescent="0.35">
      <c r="A45" t="s">
        <v>113</v>
      </c>
      <c r="B45" s="1">
        <v>45868.901072280096</v>
      </c>
      <c r="C45" s="1">
        <v>45868.96509607639</v>
      </c>
      <c r="D45" t="s">
        <v>13</v>
      </c>
      <c r="E45" t="s">
        <v>35</v>
      </c>
      <c r="F45" t="s">
        <v>114</v>
      </c>
      <c r="G45" t="s">
        <v>115</v>
      </c>
    </row>
    <row r="46" spans="1:7" x14ac:dyDescent="0.35">
      <c r="A46" t="s">
        <v>116</v>
      </c>
      <c r="B46" s="1">
        <v>45872.126770416668</v>
      </c>
      <c r="C46" s="1">
        <v>45872.29889071759</v>
      </c>
      <c r="D46" t="s">
        <v>21</v>
      </c>
      <c r="E46" t="s">
        <v>32</v>
      </c>
      <c r="F46" t="s">
        <v>117</v>
      </c>
      <c r="G46" t="s">
        <v>11</v>
      </c>
    </row>
    <row r="47" spans="1:7" x14ac:dyDescent="0.35">
      <c r="A47" t="s">
        <v>118</v>
      </c>
      <c r="B47" s="1">
        <v>45843.404094467594</v>
      </c>
      <c r="C47" s="1">
        <v>45843.878437824074</v>
      </c>
      <c r="D47" t="s">
        <v>13</v>
      </c>
      <c r="E47" t="s">
        <v>14</v>
      </c>
      <c r="F47" t="s">
        <v>119</v>
      </c>
      <c r="G47" t="s">
        <v>11</v>
      </c>
    </row>
    <row r="48" spans="1:7" x14ac:dyDescent="0.35">
      <c r="A48" t="s">
        <v>120</v>
      </c>
      <c r="B48" s="1">
        <v>45899.571593854169</v>
      </c>
      <c r="C48" s="1">
        <v>45901.48748614583</v>
      </c>
      <c r="D48" t="s">
        <v>45</v>
      </c>
      <c r="E48" t="s">
        <v>25</v>
      </c>
      <c r="F48" t="s">
        <v>121</v>
      </c>
      <c r="G48" t="s">
        <v>16</v>
      </c>
    </row>
    <row r="49" spans="1:7" x14ac:dyDescent="0.35">
      <c r="A49" t="s">
        <v>122</v>
      </c>
      <c r="B49" s="1">
        <v>45830.641442060187</v>
      </c>
      <c r="C49" s="1">
        <v>45835.539807534726</v>
      </c>
      <c r="D49" t="s">
        <v>31</v>
      </c>
      <c r="E49" t="s">
        <v>14</v>
      </c>
      <c r="F49" t="s">
        <v>123</v>
      </c>
      <c r="G49" t="s">
        <v>29</v>
      </c>
    </row>
    <row r="50" spans="1:7" x14ac:dyDescent="0.35">
      <c r="A50" t="s">
        <v>124</v>
      </c>
      <c r="B50" s="1">
        <v>45841.133833182874</v>
      </c>
      <c r="C50" s="1">
        <v>45841.652713553238</v>
      </c>
      <c r="D50" t="s">
        <v>45</v>
      </c>
      <c r="E50" t="s">
        <v>14</v>
      </c>
      <c r="F50" t="s">
        <v>125</v>
      </c>
      <c r="G50" t="s">
        <v>16</v>
      </c>
    </row>
    <row r="51" spans="1:7" x14ac:dyDescent="0.35">
      <c r="A51" t="s">
        <v>126</v>
      </c>
      <c r="B51" s="1">
        <v>45878.743972037038</v>
      </c>
      <c r="C51" s="1">
        <v>45879.856085624997</v>
      </c>
      <c r="D51" t="s">
        <v>45</v>
      </c>
      <c r="E51" t="s">
        <v>14</v>
      </c>
      <c r="F51" t="s">
        <v>127</v>
      </c>
      <c r="G51" t="s">
        <v>16</v>
      </c>
    </row>
    <row r="52" spans="1:7" x14ac:dyDescent="0.35">
      <c r="A52" t="s">
        <v>128</v>
      </c>
      <c r="B52" s="1">
        <v>45861.349098321756</v>
      </c>
      <c r="C52" s="1">
        <v>45865.965208310183</v>
      </c>
      <c r="D52" t="s">
        <v>8</v>
      </c>
      <c r="E52" t="s">
        <v>22</v>
      </c>
      <c r="F52" t="s">
        <v>129</v>
      </c>
      <c r="G52" t="s">
        <v>29</v>
      </c>
    </row>
    <row r="53" spans="1:7" x14ac:dyDescent="0.35">
      <c r="A53" t="s">
        <v>130</v>
      </c>
      <c r="B53" s="1">
        <v>45869.827586620369</v>
      </c>
      <c r="C53" s="1">
        <v>45876.059095208337</v>
      </c>
      <c r="D53" t="s">
        <v>13</v>
      </c>
      <c r="E53" t="s">
        <v>14</v>
      </c>
      <c r="F53" t="s">
        <v>131</v>
      </c>
      <c r="G53" t="s">
        <v>29</v>
      </c>
    </row>
    <row r="54" spans="1:7" x14ac:dyDescent="0.35">
      <c r="A54" t="s">
        <v>132</v>
      </c>
      <c r="B54" s="1">
        <v>45837.098491828707</v>
      </c>
      <c r="C54" s="1">
        <v>45837.72761415509</v>
      </c>
      <c r="D54" t="s">
        <v>13</v>
      </c>
      <c r="E54" t="s">
        <v>22</v>
      </c>
      <c r="F54" t="s">
        <v>133</v>
      </c>
      <c r="G54" t="s">
        <v>16</v>
      </c>
    </row>
    <row r="55" spans="1:7" x14ac:dyDescent="0.35">
      <c r="A55" t="s">
        <v>134</v>
      </c>
      <c r="B55" s="1">
        <v>45884.862366689813</v>
      </c>
      <c r="C55" s="1">
        <v>45885.412255208335</v>
      </c>
      <c r="D55" t="s">
        <v>13</v>
      </c>
      <c r="E55" t="s">
        <v>14</v>
      </c>
      <c r="F55" t="s">
        <v>135</v>
      </c>
      <c r="G55" t="s">
        <v>16</v>
      </c>
    </row>
    <row r="56" spans="1:7" x14ac:dyDescent="0.35">
      <c r="A56" t="s">
        <v>136</v>
      </c>
      <c r="B56" s="1">
        <v>45853.375071770832</v>
      </c>
      <c r="C56" s="1">
        <v>45853.793861516206</v>
      </c>
      <c r="D56" t="s">
        <v>45</v>
      </c>
      <c r="E56" t="s">
        <v>18</v>
      </c>
      <c r="F56" t="s">
        <v>137</v>
      </c>
      <c r="G56" t="s">
        <v>11</v>
      </c>
    </row>
    <row r="57" spans="1:7" x14ac:dyDescent="0.35">
      <c r="A57" t="s">
        <v>138</v>
      </c>
      <c r="B57" s="1">
        <v>45829.046392881944</v>
      </c>
      <c r="C57" s="1">
        <v>45830.741530185187</v>
      </c>
      <c r="D57" t="s">
        <v>31</v>
      </c>
      <c r="E57" t="s">
        <v>14</v>
      </c>
      <c r="F57" t="s">
        <v>139</v>
      </c>
      <c r="G57" t="s">
        <v>16</v>
      </c>
    </row>
    <row r="58" spans="1:7" x14ac:dyDescent="0.35">
      <c r="A58" t="s">
        <v>140</v>
      </c>
      <c r="B58" s="1">
        <v>45871.327925046295</v>
      </c>
      <c r="C58" s="1">
        <v>45872.603165902779</v>
      </c>
      <c r="D58" t="s">
        <v>8</v>
      </c>
      <c r="E58" t="s">
        <v>22</v>
      </c>
      <c r="F58" t="s">
        <v>141</v>
      </c>
      <c r="G58" t="s">
        <v>16</v>
      </c>
    </row>
    <row r="59" spans="1:7" x14ac:dyDescent="0.35">
      <c r="A59" t="s">
        <v>142</v>
      </c>
      <c r="B59" s="1">
        <v>45860.353873182874</v>
      </c>
      <c r="C59" s="1">
        <v>45867.28399974537</v>
      </c>
      <c r="D59" t="s">
        <v>60</v>
      </c>
      <c r="E59" t="s">
        <v>35</v>
      </c>
      <c r="F59" t="s">
        <v>143</v>
      </c>
      <c r="G59" t="s">
        <v>29</v>
      </c>
    </row>
    <row r="60" spans="1:7" x14ac:dyDescent="0.35">
      <c r="A60" t="s">
        <v>144</v>
      </c>
      <c r="B60" s="1">
        <v>45875.571420300927</v>
      </c>
      <c r="C60" s="1">
        <v>45877.303206296296</v>
      </c>
      <c r="D60" t="s">
        <v>8</v>
      </c>
      <c r="E60" t="s">
        <v>35</v>
      </c>
      <c r="F60" t="s">
        <v>145</v>
      </c>
      <c r="G60" t="s">
        <v>16</v>
      </c>
    </row>
    <row r="61" spans="1:7" x14ac:dyDescent="0.35">
      <c r="A61" t="s">
        <v>146</v>
      </c>
      <c r="B61" s="1">
        <v>45827.276196747684</v>
      </c>
      <c r="C61" s="1">
        <v>45828.595821400464</v>
      </c>
      <c r="D61" t="s">
        <v>13</v>
      </c>
      <c r="E61" t="s">
        <v>32</v>
      </c>
      <c r="F61" t="s">
        <v>147</v>
      </c>
      <c r="G61" t="s">
        <v>16</v>
      </c>
    </row>
    <row r="62" spans="1:7" x14ac:dyDescent="0.35">
      <c r="A62" t="s">
        <v>148</v>
      </c>
      <c r="B62" s="1">
        <v>45896.462244918985</v>
      </c>
      <c r="C62" s="1">
        <v>45897.49294236111</v>
      </c>
      <c r="D62" t="s">
        <v>21</v>
      </c>
      <c r="E62" t="s">
        <v>22</v>
      </c>
      <c r="F62" t="s">
        <v>149</v>
      </c>
      <c r="G62" t="s">
        <v>16</v>
      </c>
    </row>
    <row r="63" spans="1:7" x14ac:dyDescent="0.35">
      <c r="A63" t="s">
        <v>150</v>
      </c>
      <c r="B63" s="1">
        <v>45910.846970937499</v>
      </c>
      <c r="C63" s="1">
        <v>45912.419087835646</v>
      </c>
      <c r="D63" t="s">
        <v>13</v>
      </c>
      <c r="E63" t="s">
        <v>9</v>
      </c>
      <c r="F63" t="s">
        <v>151</v>
      </c>
      <c r="G63" t="s">
        <v>16</v>
      </c>
    </row>
    <row r="64" spans="1:7" x14ac:dyDescent="0.35">
      <c r="A64" t="s">
        <v>152</v>
      </c>
      <c r="B64" s="1">
        <v>45839.694215011572</v>
      </c>
      <c r="C64" s="1">
        <v>45840.681742858796</v>
      </c>
      <c r="D64" t="s">
        <v>13</v>
      </c>
      <c r="E64" t="s">
        <v>42</v>
      </c>
      <c r="F64" t="s">
        <v>153</v>
      </c>
      <c r="G64" t="s">
        <v>16</v>
      </c>
    </row>
    <row r="65" spans="1:7" x14ac:dyDescent="0.35">
      <c r="A65" t="s">
        <v>154</v>
      </c>
      <c r="B65" s="1">
        <v>45871.331352719906</v>
      </c>
      <c r="C65" s="1">
        <v>45871.66361797454</v>
      </c>
      <c r="D65" t="s">
        <v>31</v>
      </c>
      <c r="E65" t="s">
        <v>42</v>
      </c>
      <c r="F65" t="s">
        <v>155</v>
      </c>
      <c r="G65" t="s">
        <v>11</v>
      </c>
    </row>
    <row r="66" spans="1:7" x14ac:dyDescent="0.35">
      <c r="A66" t="s">
        <v>156</v>
      </c>
      <c r="B66" s="1">
        <v>45910.248753749998</v>
      </c>
      <c r="C66" s="1">
        <v>45910.584669618052</v>
      </c>
      <c r="D66" t="s">
        <v>31</v>
      </c>
      <c r="E66" t="s">
        <v>25</v>
      </c>
      <c r="F66" t="s">
        <v>157</v>
      </c>
      <c r="G66" t="s">
        <v>16</v>
      </c>
    </row>
    <row r="67" spans="1:7" x14ac:dyDescent="0.35">
      <c r="A67" t="s">
        <v>158</v>
      </c>
      <c r="B67" s="1">
        <v>45886.799485474534</v>
      </c>
      <c r="C67" s="1">
        <v>45887.413612974538</v>
      </c>
      <c r="D67" t="s">
        <v>45</v>
      </c>
      <c r="E67" t="s">
        <v>9</v>
      </c>
      <c r="F67" t="s">
        <v>159</v>
      </c>
      <c r="G67" t="s">
        <v>16</v>
      </c>
    </row>
    <row r="68" spans="1:7" x14ac:dyDescent="0.35">
      <c r="A68" t="s">
        <v>160</v>
      </c>
      <c r="B68" s="1">
        <v>45856.265250370372</v>
      </c>
      <c r="C68" s="1">
        <v>45861.837133449073</v>
      </c>
      <c r="D68" t="s">
        <v>21</v>
      </c>
      <c r="E68" t="s">
        <v>18</v>
      </c>
      <c r="F68" t="s">
        <v>161</v>
      </c>
      <c r="G68" t="s">
        <v>29</v>
      </c>
    </row>
    <row r="69" spans="1:7" x14ac:dyDescent="0.35">
      <c r="A69" t="s">
        <v>162</v>
      </c>
      <c r="B69" s="1">
        <v>45844.096052199071</v>
      </c>
      <c r="C69" s="1">
        <v>45845.543753993057</v>
      </c>
      <c r="D69" t="s">
        <v>45</v>
      </c>
      <c r="E69" t="s">
        <v>42</v>
      </c>
      <c r="F69" t="s">
        <v>163</v>
      </c>
      <c r="G69" t="s">
        <v>16</v>
      </c>
    </row>
    <row r="70" spans="1:7" x14ac:dyDescent="0.35">
      <c r="A70" t="s">
        <v>164</v>
      </c>
      <c r="B70" s="1">
        <v>45894.949184375</v>
      </c>
      <c r="C70" s="1">
        <v>45898.220131793983</v>
      </c>
      <c r="D70" t="s">
        <v>13</v>
      </c>
      <c r="E70" t="s">
        <v>32</v>
      </c>
      <c r="F70" t="s">
        <v>165</v>
      </c>
      <c r="G70" t="s">
        <v>29</v>
      </c>
    </row>
    <row r="71" spans="1:7" x14ac:dyDescent="0.35">
      <c r="A71" t="s">
        <v>166</v>
      </c>
      <c r="B71" s="1">
        <v>45907.021170486114</v>
      </c>
      <c r="C71" s="1">
        <v>45908.025708969908</v>
      </c>
      <c r="D71" t="s">
        <v>13</v>
      </c>
      <c r="E71" t="s">
        <v>25</v>
      </c>
      <c r="F71" t="s">
        <v>167</v>
      </c>
      <c r="G71" t="s">
        <v>16</v>
      </c>
    </row>
    <row r="72" spans="1:7" x14ac:dyDescent="0.35">
      <c r="A72" t="s">
        <v>168</v>
      </c>
      <c r="B72" s="1">
        <v>45859.915516805559</v>
      </c>
      <c r="C72" s="1">
        <v>45860.049579155093</v>
      </c>
      <c r="D72" t="s">
        <v>21</v>
      </c>
      <c r="E72" t="s">
        <v>42</v>
      </c>
      <c r="F72" t="s">
        <v>169</v>
      </c>
      <c r="G72" t="s">
        <v>115</v>
      </c>
    </row>
    <row r="73" spans="1:7" x14ac:dyDescent="0.35">
      <c r="A73" t="s">
        <v>170</v>
      </c>
      <c r="B73" s="1">
        <v>45862.538502326388</v>
      </c>
      <c r="C73" s="1">
        <v>45863.373908437497</v>
      </c>
      <c r="D73" t="s">
        <v>13</v>
      </c>
      <c r="E73" t="s">
        <v>18</v>
      </c>
      <c r="F73" t="s">
        <v>171</v>
      </c>
      <c r="G73" t="s">
        <v>16</v>
      </c>
    </row>
    <row r="74" spans="1:7" x14ac:dyDescent="0.35">
      <c r="A74" t="s">
        <v>172</v>
      </c>
      <c r="B74" s="1">
        <v>45826.321113136575</v>
      </c>
      <c r="C74" s="1">
        <v>45827.897584212966</v>
      </c>
      <c r="D74" t="s">
        <v>45</v>
      </c>
      <c r="E74" t="s">
        <v>42</v>
      </c>
      <c r="F74" t="s">
        <v>173</v>
      </c>
      <c r="G74" t="s">
        <v>16</v>
      </c>
    </row>
    <row r="75" spans="1:7" x14ac:dyDescent="0.35">
      <c r="A75" t="s">
        <v>174</v>
      </c>
      <c r="B75" s="1">
        <v>45903.107100034722</v>
      </c>
      <c r="C75" s="1">
        <v>45903.445007858798</v>
      </c>
      <c r="D75" t="s">
        <v>8</v>
      </c>
      <c r="E75" t="s">
        <v>46</v>
      </c>
      <c r="F75" t="s">
        <v>175</v>
      </c>
      <c r="G75" t="s">
        <v>11</v>
      </c>
    </row>
    <row r="76" spans="1:7" x14ac:dyDescent="0.35">
      <c r="A76" t="s">
        <v>176</v>
      </c>
      <c r="B76" s="1">
        <v>45877.970792118052</v>
      </c>
      <c r="C76" s="1">
        <v>45883.972063807872</v>
      </c>
      <c r="D76" t="s">
        <v>60</v>
      </c>
      <c r="E76" t="s">
        <v>14</v>
      </c>
      <c r="F76" t="s">
        <v>177</v>
      </c>
      <c r="G76" t="s">
        <v>29</v>
      </c>
    </row>
    <row r="77" spans="1:7" x14ac:dyDescent="0.35">
      <c r="A77" t="s">
        <v>178</v>
      </c>
      <c r="B77" s="1">
        <v>45897.075165682872</v>
      </c>
      <c r="C77" s="1">
        <v>45897.403448738427</v>
      </c>
      <c r="D77" t="s">
        <v>8</v>
      </c>
      <c r="E77" t="s">
        <v>42</v>
      </c>
      <c r="F77" t="s">
        <v>179</v>
      </c>
      <c r="G77" t="s">
        <v>11</v>
      </c>
    </row>
    <row r="78" spans="1:7" x14ac:dyDescent="0.35">
      <c r="A78" t="s">
        <v>180</v>
      </c>
      <c r="B78" s="1">
        <v>45858.438465046296</v>
      </c>
      <c r="C78" s="1">
        <v>45858.591115138886</v>
      </c>
      <c r="D78" t="s">
        <v>13</v>
      </c>
      <c r="E78" t="s">
        <v>14</v>
      </c>
      <c r="F78" t="s">
        <v>181</v>
      </c>
      <c r="G78" t="s">
        <v>11</v>
      </c>
    </row>
    <row r="79" spans="1:7" x14ac:dyDescent="0.35">
      <c r="A79" t="s">
        <v>182</v>
      </c>
      <c r="B79" s="1">
        <v>45855.654603726849</v>
      </c>
      <c r="C79" s="1">
        <v>45855.944653101855</v>
      </c>
      <c r="D79" t="s">
        <v>60</v>
      </c>
      <c r="E79" t="s">
        <v>32</v>
      </c>
      <c r="F79" t="s">
        <v>183</v>
      </c>
      <c r="G79" t="s">
        <v>11</v>
      </c>
    </row>
    <row r="80" spans="1:7" x14ac:dyDescent="0.35">
      <c r="A80" t="s">
        <v>184</v>
      </c>
      <c r="B80" s="1">
        <v>45861.832680300926</v>
      </c>
      <c r="C80" s="1">
        <v>45864.478965694441</v>
      </c>
      <c r="D80" t="s">
        <v>13</v>
      </c>
      <c r="E80" t="s">
        <v>14</v>
      </c>
      <c r="F80" t="s">
        <v>185</v>
      </c>
      <c r="G80" t="s">
        <v>29</v>
      </c>
    </row>
    <row r="81" spans="1:7" x14ac:dyDescent="0.35">
      <c r="A81" t="s">
        <v>186</v>
      </c>
      <c r="B81" s="1">
        <v>45835.874010046296</v>
      </c>
      <c r="C81" s="1">
        <v>45839.839174652778</v>
      </c>
      <c r="D81" t="s">
        <v>45</v>
      </c>
      <c r="E81" t="s">
        <v>14</v>
      </c>
      <c r="F81" t="s">
        <v>187</v>
      </c>
      <c r="G81" t="s">
        <v>29</v>
      </c>
    </row>
    <row r="82" spans="1:7" x14ac:dyDescent="0.35">
      <c r="A82" t="s">
        <v>188</v>
      </c>
      <c r="B82" s="1">
        <v>45827.696929745369</v>
      </c>
      <c r="C82" s="1">
        <v>45833.939332164351</v>
      </c>
      <c r="D82" t="s">
        <v>13</v>
      </c>
      <c r="E82" t="s">
        <v>35</v>
      </c>
      <c r="F82" t="s">
        <v>189</v>
      </c>
      <c r="G82" t="s">
        <v>29</v>
      </c>
    </row>
    <row r="83" spans="1:7" x14ac:dyDescent="0.35">
      <c r="A83" t="s">
        <v>190</v>
      </c>
      <c r="B83" s="1">
        <v>45835.035242280093</v>
      </c>
      <c r="C83" s="1">
        <v>45839.417101817133</v>
      </c>
      <c r="D83" t="s">
        <v>31</v>
      </c>
      <c r="E83" t="s">
        <v>22</v>
      </c>
      <c r="F83" t="s">
        <v>191</v>
      </c>
      <c r="G83" t="s">
        <v>29</v>
      </c>
    </row>
    <row r="84" spans="1:7" x14ac:dyDescent="0.35">
      <c r="A84" t="s">
        <v>192</v>
      </c>
      <c r="B84" s="1">
        <v>45879.470454189817</v>
      </c>
      <c r="C84" s="1">
        <v>45881.348121898147</v>
      </c>
      <c r="D84" t="s">
        <v>13</v>
      </c>
      <c r="E84" t="s">
        <v>14</v>
      </c>
      <c r="F84" t="s">
        <v>193</v>
      </c>
      <c r="G84" t="s">
        <v>16</v>
      </c>
    </row>
    <row r="85" spans="1:7" x14ac:dyDescent="0.35">
      <c r="A85" t="s">
        <v>194</v>
      </c>
      <c r="B85" s="1">
        <v>45867.075831828704</v>
      </c>
      <c r="C85" s="1">
        <v>45869.559900428241</v>
      </c>
      <c r="D85" t="s">
        <v>81</v>
      </c>
      <c r="E85" t="s">
        <v>25</v>
      </c>
      <c r="F85" t="s">
        <v>195</v>
      </c>
      <c r="G85" t="s">
        <v>29</v>
      </c>
    </row>
    <row r="86" spans="1:7" x14ac:dyDescent="0.35">
      <c r="A86" t="s">
        <v>196</v>
      </c>
      <c r="B86" s="1">
        <v>45844.422962789351</v>
      </c>
      <c r="C86" s="1">
        <v>45849.014388842596</v>
      </c>
      <c r="D86" t="s">
        <v>21</v>
      </c>
      <c r="E86" t="s">
        <v>55</v>
      </c>
      <c r="F86" t="s">
        <v>197</v>
      </c>
      <c r="G86" t="s">
        <v>29</v>
      </c>
    </row>
    <row r="87" spans="1:7" x14ac:dyDescent="0.35">
      <c r="A87" t="s">
        <v>198</v>
      </c>
      <c r="B87" s="1">
        <v>45868.183028981482</v>
      </c>
      <c r="C87" s="1">
        <v>45868.547340937497</v>
      </c>
      <c r="D87" t="s">
        <v>31</v>
      </c>
      <c r="E87" t="s">
        <v>32</v>
      </c>
      <c r="F87" t="s">
        <v>199</v>
      </c>
      <c r="G87" t="s">
        <v>11</v>
      </c>
    </row>
    <row r="88" spans="1:7" x14ac:dyDescent="0.35">
      <c r="A88" t="s">
        <v>200</v>
      </c>
      <c r="B88" s="1">
        <v>45892.221289976849</v>
      </c>
      <c r="C88" s="1">
        <v>45893.692486550928</v>
      </c>
      <c r="D88" t="s">
        <v>13</v>
      </c>
      <c r="E88" t="s">
        <v>42</v>
      </c>
      <c r="F88" t="s">
        <v>201</v>
      </c>
      <c r="G88" t="s">
        <v>16</v>
      </c>
    </row>
    <row r="89" spans="1:7" x14ac:dyDescent="0.35">
      <c r="A89" t="s">
        <v>202</v>
      </c>
      <c r="B89" s="1">
        <v>45848.132901874997</v>
      </c>
      <c r="C89" s="1">
        <v>45848.966689872686</v>
      </c>
      <c r="D89" t="s">
        <v>21</v>
      </c>
      <c r="E89" t="s">
        <v>18</v>
      </c>
      <c r="F89" t="s">
        <v>203</v>
      </c>
      <c r="G89" t="s">
        <v>16</v>
      </c>
    </row>
    <row r="90" spans="1:7" x14ac:dyDescent="0.35">
      <c r="A90" t="s">
        <v>204</v>
      </c>
      <c r="B90" s="1">
        <v>45912.790745324077</v>
      </c>
      <c r="C90" s="1">
        <v>45914.105542256948</v>
      </c>
      <c r="D90" t="s">
        <v>13</v>
      </c>
      <c r="E90" t="s">
        <v>32</v>
      </c>
      <c r="F90" t="s">
        <v>205</v>
      </c>
      <c r="G90" t="s">
        <v>16</v>
      </c>
    </row>
    <row r="91" spans="1:7" x14ac:dyDescent="0.35">
      <c r="A91" t="s">
        <v>206</v>
      </c>
      <c r="B91" s="1">
        <v>45902.639425532405</v>
      </c>
      <c r="C91" s="1">
        <v>45908.681624143515</v>
      </c>
      <c r="D91" t="s">
        <v>13</v>
      </c>
      <c r="E91" t="s">
        <v>32</v>
      </c>
      <c r="F91" t="s">
        <v>207</v>
      </c>
      <c r="G91" t="s">
        <v>29</v>
      </c>
    </row>
    <row r="92" spans="1:7" x14ac:dyDescent="0.35">
      <c r="A92" t="s">
        <v>208</v>
      </c>
      <c r="B92" s="1">
        <v>45850.503205740744</v>
      </c>
      <c r="C92" s="1">
        <v>45851.26551005787</v>
      </c>
      <c r="D92" t="s">
        <v>13</v>
      </c>
      <c r="E92" t="s">
        <v>9</v>
      </c>
      <c r="F92" t="s">
        <v>209</v>
      </c>
      <c r="G92" t="s">
        <v>16</v>
      </c>
    </row>
    <row r="93" spans="1:7" x14ac:dyDescent="0.35">
      <c r="A93" t="s">
        <v>210</v>
      </c>
      <c r="B93" s="1">
        <v>45875.192167974536</v>
      </c>
      <c r="C93" s="1">
        <v>45881.464590856478</v>
      </c>
      <c r="D93" t="s">
        <v>13</v>
      </c>
      <c r="E93" t="s">
        <v>32</v>
      </c>
      <c r="F93" t="s">
        <v>211</v>
      </c>
      <c r="G93" t="s">
        <v>29</v>
      </c>
    </row>
    <row r="94" spans="1:7" x14ac:dyDescent="0.35">
      <c r="A94" t="s">
        <v>212</v>
      </c>
      <c r="B94" s="1">
        <v>45832.518167638889</v>
      </c>
      <c r="C94" s="1">
        <v>45834.451125613428</v>
      </c>
      <c r="D94" t="s">
        <v>45</v>
      </c>
      <c r="E94" t="s">
        <v>22</v>
      </c>
      <c r="F94" t="s">
        <v>213</v>
      </c>
      <c r="G94" t="s">
        <v>16</v>
      </c>
    </row>
    <row r="95" spans="1:7" x14ac:dyDescent="0.35">
      <c r="A95" t="s">
        <v>214</v>
      </c>
      <c r="B95" s="1">
        <v>45833.894249444442</v>
      </c>
      <c r="C95" s="1">
        <v>45837.297820671294</v>
      </c>
      <c r="D95" t="s">
        <v>8</v>
      </c>
      <c r="E95" t="s">
        <v>22</v>
      </c>
      <c r="F95" t="s">
        <v>215</v>
      </c>
      <c r="G95" t="s">
        <v>29</v>
      </c>
    </row>
    <row r="96" spans="1:7" x14ac:dyDescent="0.35">
      <c r="A96" t="s">
        <v>216</v>
      </c>
      <c r="B96" s="1">
        <v>45863.629643032407</v>
      </c>
      <c r="C96" s="1">
        <v>45868.030028715279</v>
      </c>
      <c r="D96" t="s">
        <v>31</v>
      </c>
      <c r="E96" t="s">
        <v>42</v>
      </c>
      <c r="F96" t="s">
        <v>217</v>
      </c>
      <c r="G96" t="s">
        <v>29</v>
      </c>
    </row>
    <row r="97" spans="1:7" x14ac:dyDescent="0.35">
      <c r="A97" t="s">
        <v>218</v>
      </c>
      <c r="B97" s="1">
        <v>45863.74130209491</v>
      </c>
      <c r="C97" s="1">
        <v>45864.909261319444</v>
      </c>
      <c r="D97" t="s">
        <v>8</v>
      </c>
      <c r="E97" t="s">
        <v>9</v>
      </c>
      <c r="F97" t="s">
        <v>219</v>
      </c>
      <c r="G97" t="s">
        <v>16</v>
      </c>
    </row>
    <row r="98" spans="1:7" x14ac:dyDescent="0.35">
      <c r="A98" t="s">
        <v>220</v>
      </c>
      <c r="B98" s="1">
        <v>45881.742879791665</v>
      </c>
      <c r="C98" s="1">
        <v>45883.565504467595</v>
      </c>
      <c r="D98" t="s">
        <v>31</v>
      </c>
      <c r="E98" t="s">
        <v>25</v>
      </c>
      <c r="F98" t="s">
        <v>221</v>
      </c>
      <c r="G98" t="s">
        <v>29</v>
      </c>
    </row>
    <row r="99" spans="1:7" x14ac:dyDescent="0.35">
      <c r="A99" t="s">
        <v>222</v>
      </c>
      <c r="B99" s="1">
        <v>45863.88633465278</v>
      </c>
      <c r="C99" s="1">
        <v>45870.561789224535</v>
      </c>
      <c r="D99" t="s">
        <v>21</v>
      </c>
      <c r="E99" t="s">
        <v>32</v>
      </c>
      <c r="F99" t="s">
        <v>223</v>
      </c>
      <c r="G99" t="s">
        <v>29</v>
      </c>
    </row>
    <row r="100" spans="1:7" x14ac:dyDescent="0.35">
      <c r="A100" t="s">
        <v>224</v>
      </c>
      <c r="B100" s="1">
        <v>45914.807502268515</v>
      </c>
      <c r="C100" s="1">
        <v>45914.935071701388</v>
      </c>
      <c r="D100" t="s">
        <v>13</v>
      </c>
      <c r="E100" t="s">
        <v>14</v>
      </c>
      <c r="F100" t="s">
        <v>225</v>
      </c>
      <c r="G100" t="s">
        <v>11</v>
      </c>
    </row>
    <row r="101" spans="1:7" x14ac:dyDescent="0.35">
      <c r="A101" t="s">
        <v>226</v>
      </c>
      <c r="B101" s="1">
        <v>45869.010687291666</v>
      </c>
      <c r="C101" s="1">
        <v>45869.377826099539</v>
      </c>
      <c r="D101" t="s">
        <v>21</v>
      </c>
      <c r="E101" t="s">
        <v>25</v>
      </c>
      <c r="F101" t="s">
        <v>227</v>
      </c>
      <c r="G101" t="s">
        <v>16</v>
      </c>
    </row>
    <row r="102" spans="1:7" x14ac:dyDescent="0.35">
      <c r="A102" t="s">
        <v>228</v>
      </c>
      <c r="B102" s="1">
        <v>45886.551199293979</v>
      </c>
      <c r="C102" s="1">
        <v>45886.637387997682</v>
      </c>
      <c r="D102" t="s">
        <v>13</v>
      </c>
      <c r="E102" t="s">
        <v>32</v>
      </c>
      <c r="F102" t="s">
        <v>229</v>
      </c>
      <c r="G102" t="s">
        <v>115</v>
      </c>
    </row>
    <row r="103" spans="1:7" x14ac:dyDescent="0.35">
      <c r="A103" t="s">
        <v>230</v>
      </c>
      <c r="B103" s="1">
        <v>45911.538317349536</v>
      </c>
      <c r="C103" s="1">
        <v>45913.271872893522</v>
      </c>
      <c r="D103" t="s">
        <v>13</v>
      </c>
      <c r="E103" t="s">
        <v>42</v>
      </c>
      <c r="F103" t="s">
        <v>231</v>
      </c>
      <c r="G103" t="s">
        <v>16</v>
      </c>
    </row>
    <row r="104" spans="1:7" x14ac:dyDescent="0.35">
      <c r="A104" t="s">
        <v>232</v>
      </c>
      <c r="B104" s="1">
        <v>45839.36759386574</v>
      </c>
      <c r="C104" s="1">
        <v>45840.472722094906</v>
      </c>
      <c r="D104" t="s">
        <v>8</v>
      </c>
      <c r="E104" t="s">
        <v>32</v>
      </c>
      <c r="F104" t="s">
        <v>233</v>
      </c>
      <c r="G104" t="s">
        <v>29</v>
      </c>
    </row>
    <row r="105" spans="1:7" x14ac:dyDescent="0.35">
      <c r="A105" t="s">
        <v>234</v>
      </c>
      <c r="B105" s="1">
        <v>45833.941698634262</v>
      </c>
      <c r="C105" s="1">
        <v>45834.416492488424</v>
      </c>
      <c r="D105" t="s">
        <v>13</v>
      </c>
      <c r="E105" t="s">
        <v>55</v>
      </c>
      <c r="F105" t="s">
        <v>235</v>
      </c>
      <c r="G105" t="s">
        <v>16</v>
      </c>
    </row>
    <row r="106" spans="1:7" x14ac:dyDescent="0.35">
      <c r="A106" t="s">
        <v>236</v>
      </c>
      <c r="B106" s="1">
        <v>45906.263209618053</v>
      </c>
      <c r="C106" s="1">
        <v>45906.441982453704</v>
      </c>
      <c r="D106" t="s">
        <v>81</v>
      </c>
      <c r="E106" t="s">
        <v>55</v>
      </c>
      <c r="F106" t="s">
        <v>237</v>
      </c>
      <c r="G106" t="s">
        <v>11</v>
      </c>
    </row>
    <row r="107" spans="1:7" x14ac:dyDescent="0.35">
      <c r="A107" t="s">
        <v>238</v>
      </c>
      <c r="B107" s="1">
        <v>45872.281321724535</v>
      </c>
      <c r="C107" s="1">
        <v>45874.695412037036</v>
      </c>
      <c r="D107" t="s">
        <v>45</v>
      </c>
      <c r="E107" t="s">
        <v>46</v>
      </c>
      <c r="F107" t="s">
        <v>239</v>
      </c>
      <c r="G107" t="s">
        <v>29</v>
      </c>
    </row>
    <row r="108" spans="1:7" x14ac:dyDescent="0.35">
      <c r="A108" t="s">
        <v>240</v>
      </c>
      <c r="B108" s="1">
        <v>45886.512519641205</v>
      </c>
      <c r="C108" s="1">
        <v>45887.770572569447</v>
      </c>
      <c r="D108" t="s">
        <v>81</v>
      </c>
      <c r="E108" t="s">
        <v>18</v>
      </c>
      <c r="F108" t="s">
        <v>241</v>
      </c>
      <c r="G108" t="s">
        <v>16</v>
      </c>
    </row>
    <row r="109" spans="1:7" x14ac:dyDescent="0.35">
      <c r="A109" t="s">
        <v>242</v>
      </c>
      <c r="B109" s="1">
        <v>45866.620971516204</v>
      </c>
      <c r="C109" s="1">
        <v>45869.341103599538</v>
      </c>
      <c r="D109" t="s">
        <v>21</v>
      </c>
      <c r="E109" t="s">
        <v>14</v>
      </c>
      <c r="F109" t="s">
        <v>243</v>
      </c>
      <c r="G109" t="s">
        <v>29</v>
      </c>
    </row>
    <row r="110" spans="1:7" x14ac:dyDescent="0.35">
      <c r="A110" t="s">
        <v>244</v>
      </c>
      <c r="B110" s="1">
        <v>45850.289993865743</v>
      </c>
      <c r="C110" s="1">
        <v>45850.497444108798</v>
      </c>
      <c r="D110" t="s">
        <v>21</v>
      </c>
      <c r="E110" t="s">
        <v>18</v>
      </c>
      <c r="F110" t="s">
        <v>245</v>
      </c>
      <c r="G110" t="s">
        <v>11</v>
      </c>
    </row>
    <row r="111" spans="1:7" x14ac:dyDescent="0.35">
      <c r="A111" t="s">
        <v>246</v>
      </c>
      <c r="B111" s="1">
        <v>45851.016814189818</v>
      </c>
      <c r="C111" s="1">
        <v>45857.933740289351</v>
      </c>
      <c r="D111" t="s">
        <v>13</v>
      </c>
      <c r="E111" t="s">
        <v>18</v>
      </c>
      <c r="F111" t="s">
        <v>247</v>
      </c>
      <c r="G111" t="s">
        <v>29</v>
      </c>
    </row>
    <row r="112" spans="1:7" x14ac:dyDescent="0.35">
      <c r="A112" t="s">
        <v>248</v>
      </c>
      <c r="B112" s="1">
        <v>45852.247494618059</v>
      </c>
      <c r="C112" s="1">
        <v>45852.52489966435</v>
      </c>
      <c r="D112" t="s">
        <v>31</v>
      </c>
      <c r="E112" t="s">
        <v>42</v>
      </c>
      <c r="F112" t="s">
        <v>249</v>
      </c>
      <c r="G112" t="s">
        <v>11</v>
      </c>
    </row>
    <row r="113" spans="1:7" x14ac:dyDescent="0.35">
      <c r="A113" t="s">
        <v>250</v>
      </c>
      <c r="B113" s="1">
        <v>45897.479103912039</v>
      </c>
      <c r="C113" s="1">
        <v>45904.444584293982</v>
      </c>
      <c r="D113" t="s">
        <v>13</v>
      </c>
      <c r="E113" t="s">
        <v>18</v>
      </c>
      <c r="F113" t="s">
        <v>251</v>
      </c>
      <c r="G113" t="s">
        <v>29</v>
      </c>
    </row>
    <row r="114" spans="1:7" x14ac:dyDescent="0.35">
      <c r="A114" t="s">
        <v>252</v>
      </c>
      <c r="B114" s="1">
        <v>45897.33485097222</v>
      </c>
      <c r="C114" s="1">
        <v>45902.195088425928</v>
      </c>
      <c r="D114" t="s">
        <v>60</v>
      </c>
      <c r="E114" t="s">
        <v>14</v>
      </c>
      <c r="F114" t="s">
        <v>253</v>
      </c>
      <c r="G114" t="s">
        <v>29</v>
      </c>
    </row>
    <row r="115" spans="1:7" x14ac:dyDescent="0.35">
      <c r="A115" t="s">
        <v>254</v>
      </c>
      <c r="B115" s="1">
        <v>45889.472084976849</v>
      </c>
      <c r="C115" s="1">
        <v>45889.563600474539</v>
      </c>
      <c r="D115" t="s">
        <v>21</v>
      </c>
      <c r="E115" t="s">
        <v>22</v>
      </c>
      <c r="F115" t="s">
        <v>255</v>
      </c>
      <c r="G115" t="s">
        <v>11</v>
      </c>
    </row>
    <row r="116" spans="1:7" x14ac:dyDescent="0.35">
      <c r="A116" t="s">
        <v>256</v>
      </c>
      <c r="B116" s="1">
        <v>45834.277258101851</v>
      </c>
      <c r="C116" s="1">
        <v>45834.880186099537</v>
      </c>
      <c r="D116" t="s">
        <v>8</v>
      </c>
      <c r="E116" t="s">
        <v>25</v>
      </c>
      <c r="F116" t="s">
        <v>257</v>
      </c>
      <c r="G116" t="s">
        <v>16</v>
      </c>
    </row>
    <row r="117" spans="1:7" x14ac:dyDescent="0.35">
      <c r="A117" t="s">
        <v>258</v>
      </c>
      <c r="B117" s="1">
        <v>45904.00158491898</v>
      </c>
      <c r="C117" s="1">
        <v>45908.743611006947</v>
      </c>
      <c r="D117" t="s">
        <v>31</v>
      </c>
      <c r="E117" t="s">
        <v>55</v>
      </c>
      <c r="F117" t="s">
        <v>259</v>
      </c>
      <c r="G117" t="s">
        <v>29</v>
      </c>
    </row>
    <row r="118" spans="1:7" x14ac:dyDescent="0.35">
      <c r="A118" t="s">
        <v>260</v>
      </c>
      <c r="B118" s="1">
        <v>45852.145348541664</v>
      </c>
      <c r="C118" s="1">
        <v>45853.493291354163</v>
      </c>
      <c r="D118" t="s">
        <v>13</v>
      </c>
      <c r="E118" t="s">
        <v>18</v>
      </c>
      <c r="F118" t="s">
        <v>261</v>
      </c>
      <c r="G118" t="s">
        <v>16</v>
      </c>
    </row>
    <row r="119" spans="1:7" x14ac:dyDescent="0.35">
      <c r="A119" t="s">
        <v>262</v>
      </c>
      <c r="B119" s="1">
        <v>45862.277817847222</v>
      </c>
      <c r="C119" s="1">
        <v>45864.09636747685</v>
      </c>
      <c r="D119" t="s">
        <v>31</v>
      </c>
      <c r="E119" t="s">
        <v>46</v>
      </c>
      <c r="F119" t="s">
        <v>263</v>
      </c>
      <c r="G119" t="s">
        <v>16</v>
      </c>
    </row>
    <row r="120" spans="1:7" x14ac:dyDescent="0.35">
      <c r="A120" t="s">
        <v>264</v>
      </c>
      <c r="B120" s="1">
        <v>45872.946095937499</v>
      </c>
      <c r="C120" s="1">
        <v>45879.541631354165</v>
      </c>
      <c r="D120" t="s">
        <v>81</v>
      </c>
      <c r="E120" t="s">
        <v>32</v>
      </c>
      <c r="F120" t="s">
        <v>265</v>
      </c>
      <c r="G120" t="s">
        <v>29</v>
      </c>
    </row>
    <row r="121" spans="1:7" x14ac:dyDescent="0.35">
      <c r="A121" t="s">
        <v>266</v>
      </c>
      <c r="B121" s="1">
        <v>45850.010814976849</v>
      </c>
      <c r="C121" s="1">
        <v>45850.795333125003</v>
      </c>
      <c r="D121" t="s">
        <v>21</v>
      </c>
      <c r="E121" t="s">
        <v>14</v>
      </c>
      <c r="F121" t="s">
        <v>267</v>
      </c>
      <c r="G121" t="s">
        <v>16</v>
      </c>
    </row>
    <row r="122" spans="1:7" x14ac:dyDescent="0.35">
      <c r="A122" t="s">
        <v>268</v>
      </c>
      <c r="B122" s="1">
        <v>45857.543304513893</v>
      </c>
      <c r="C122" s="1">
        <v>45858.309298784719</v>
      </c>
      <c r="D122" t="s">
        <v>8</v>
      </c>
      <c r="E122" t="s">
        <v>25</v>
      </c>
      <c r="F122" t="s">
        <v>269</v>
      </c>
      <c r="G122" t="s">
        <v>16</v>
      </c>
    </row>
    <row r="123" spans="1:7" x14ac:dyDescent="0.35">
      <c r="A123" t="s">
        <v>270</v>
      </c>
      <c r="B123" s="1">
        <v>45837.839233402781</v>
      </c>
      <c r="C123" s="1">
        <v>45838.438694236109</v>
      </c>
      <c r="D123" t="s">
        <v>31</v>
      </c>
      <c r="E123" t="s">
        <v>42</v>
      </c>
      <c r="F123" t="s">
        <v>271</v>
      </c>
      <c r="G123" t="s">
        <v>16</v>
      </c>
    </row>
    <row r="124" spans="1:7" x14ac:dyDescent="0.35">
      <c r="A124" t="s">
        <v>272</v>
      </c>
      <c r="B124" s="1">
        <v>45867.618249085652</v>
      </c>
      <c r="C124" s="1">
        <v>45868.392216446759</v>
      </c>
      <c r="D124" t="s">
        <v>13</v>
      </c>
      <c r="E124" t="s">
        <v>9</v>
      </c>
      <c r="F124" t="s">
        <v>273</v>
      </c>
      <c r="G124" t="s">
        <v>16</v>
      </c>
    </row>
    <row r="125" spans="1:7" x14ac:dyDescent="0.35">
      <c r="A125" t="s">
        <v>274</v>
      </c>
      <c r="B125" s="1">
        <v>45888.049664409722</v>
      </c>
      <c r="C125" s="1">
        <v>45889.796211516201</v>
      </c>
      <c r="D125" t="s">
        <v>45</v>
      </c>
      <c r="E125" t="s">
        <v>14</v>
      </c>
      <c r="F125" t="s">
        <v>275</v>
      </c>
      <c r="G125" t="s">
        <v>16</v>
      </c>
    </row>
    <row r="126" spans="1:7" x14ac:dyDescent="0.35">
      <c r="A126" t="s">
        <v>276</v>
      </c>
      <c r="B126" s="1">
        <v>45833.252764166667</v>
      </c>
      <c r="C126" s="1">
        <v>45833.782323101848</v>
      </c>
      <c r="D126" t="s">
        <v>81</v>
      </c>
      <c r="E126" t="s">
        <v>55</v>
      </c>
      <c r="F126" t="s">
        <v>277</v>
      </c>
      <c r="G126" t="s">
        <v>16</v>
      </c>
    </row>
    <row r="127" spans="1:7" x14ac:dyDescent="0.35">
      <c r="A127" t="s">
        <v>278</v>
      </c>
      <c r="B127" s="1">
        <v>45871.769415833332</v>
      </c>
      <c r="C127" s="1">
        <v>45872.507896226853</v>
      </c>
      <c r="D127" t="s">
        <v>81</v>
      </c>
      <c r="E127" t="s">
        <v>22</v>
      </c>
      <c r="F127" t="s">
        <v>279</v>
      </c>
      <c r="G127" t="s">
        <v>16</v>
      </c>
    </row>
    <row r="128" spans="1:7" x14ac:dyDescent="0.35">
      <c r="A128" t="s">
        <v>280</v>
      </c>
      <c r="B128" s="1">
        <v>45895.01577233796</v>
      </c>
      <c r="C128" s="1">
        <v>45898.961600011571</v>
      </c>
      <c r="D128" t="s">
        <v>21</v>
      </c>
      <c r="E128" t="s">
        <v>32</v>
      </c>
      <c r="F128" t="s">
        <v>281</v>
      </c>
      <c r="G128" t="s">
        <v>29</v>
      </c>
    </row>
    <row r="129" spans="1:7" x14ac:dyDescent="0.35">
      <c r="A129" t="s">
        <v>282</v>
      </c>
      <c r="B129" s="1">
        <v>45855.641187476853</v>
      </c>
      <c r="C129" s="1">
        <v>45860.058005162035</v>
      </c>
      <c r="D129" t="s">
        <v>13</v>
      </c>
      <c r="E129" t="s">
        <v>55</v>
      </c>
      <c r="F129" t="s">
        <v>283</v>
      </c>
      <c r="G129" t="s">
        <v>29</v>
      </c>
    </row>
    <row r="130" spans="1:7" x14ac:dyDescent="0.35">
      <c r="A130" t="s">
        <v>284</v>
      </c>
      <c r="B130" s="1">
        <v>45909.709815717593</v>
      </c>
      <c r="C130" s="1">
        <v>45910.054590312502</v>
      </c>
      <c r="D130" t="s">
        <v>45</v>
      </c>
      <c r="E130" t="s">
        <v>18</v>
      </c>
      <c r="F130" t="s">
        <v>285</v>
      </c>
      <c r="G130" t="s">
        <v>11</v>
      </c>
    </row>
    <row r="131" spans="1:7" x14ac:dyDescent="0.35">
      <c r="A131" t="s">
        <v>286</v>
      </c>
      <c r="B131" s="1">
        <v>45906.729388576387</v>
      </c>
      <c r="C131" s="1">
        <v>45908.672971944441</v>
      </c>
      <c r="D131" t="s">
        <v>8</v>
      </c>
      <c r="E131" t="s">
        <v>14</v>
      </c>
      <c r="F131" t="s">
        <v>287</v>
      </c>
      <c r="G131" t="s">
        <v>16</v>
      </c>
    </row>
    <row r="132" spans="1:7" x14ac:dyDescent="0.35">
      <c r="A132" t="s">
        <v>288</v>
      </c>
      <c r="B132" s="1">
        <v>45910.871020706021</v>
      </c>
      <c r="C132" s="1">
        <v>45912.692476354168</v>
      </c>
      <c r="D132" t="s">
        <v>81</v>
      </c>
      <c r="E132" t="s">
        <v>35</v>
      </c>
      <c r="F132" t="s">
        <v>289</v>
      </c>
      <c r="G132" t="s">
        <v>29</v>
      </c>
    </row>
    <row r="133" spans="1:7" x14ac:dyDescent="0.35">
      <c r="A133" t="s">
        <v>290</v>
      </c>
      <c r="B133" s="1">
        <v>45879.520755300924</v>
      </c>
      <c r="C133" s="1">
        <v>45883.389230601853</v>
      </c>
      <c r="D133" t="s">
        <v>81</v>
      </c>
      <c r="E133" t="s">
        <v>18</v>
      </c>
      <c r="F133" t="s">
        <v>291</v>
      </c>
      <c r="G133" t="s">
        <v>29</v>
      </c>
    </row>
    <row r="134" spans="1:7" x14ac:dyDescent="0.35">
      <c r="A134" t="s">
        <v>292</v>
      </c>
      <c r="B134" s="1">
        <v>45907.109921354167</v>
      </c>
      <c r="C134" s="1">
        <v>45910.587372002316</v>
      </c>
      <c r="D134" t="s">
        <v>8</v>
      </c>
      <c r="E134" t="s">
        <v>42</v>
      </c>
      <c r="F134" t="s">
        <v>293</v>
      </c>
      <c r="G134" t="s">
        <v>29</v>
      </c>
    </row>
    <row r="135" spans="1:7" x14ac:dyDescent="0.35">
      <c r="A135" t="s">
        <v>294</v>
      </c>
      <c r="B135" s="1">
        <v>45859.296687372684</v>
      </c>
      <c r="C135" s="1">
        <v>45859.711959270833</v>
      </c>
      <c r="D135" t="s">
        <v>31</v>
      </c>
      <c r="E135" t="s">
        <v>22</v>
      </c>
      <c r="F135" t="s">
        <v>295</v>
      </c>
      <c r="G135" t="s">
        <v>11</v>
      </c>
    </row>
    <row r="136" spans="1:7" x14ac:dyDescent="0.35">
      <c r="A136" t="s">
        <v>296</v>
      </c>
      <c r="B136" s="1">
        <v>45884.043633368055</v>
      </c>
      <c r="C136" s="1">
        <v>45891.026826423615</v>
      </c>
      <c r="D136" t="s">
        <v>8</v>
      </c>
      <c r="E136" t="s">
        <v>32</v>
      </c>
      <c r="F136" t="s">
        <v>297</v>
      </c>
      <c r="G136" t="s">
        <v>29</v>
      </c>
    </row>
    <row r="137" spans="1:7" x14ac:dyDescent="0.35">
      <c r="A137" t="s">
        <v>298</v>
      </c>
      <c r="B137" s="1">
        <v>45832.24807454861</v>
      </c>
      <c r="C137" s="1">
        <v>45837.032086712963</v>
      </c>
      <c r="D137" t="s">
        <v>60</v>
      </c>
      <c r="E137" t="s">
        <v>35</v>
      </c>
      <c r="F137" t="s">
        <v>299</v>
      </c>
      <c r="G137" t="s">
        <v>29</v>
      </c>
    </row>
    <row r="138" spans="1:7" x14ac:dyDescent="0.35">
      <c r="A138" t="s">
        <v>300</v>
      </c>
      <c r="B138" s="1">
        <v>45914.743208043983</v>
      </c>
      <c r="C138" s="1">
        <v>45917.991188726854</v>
      </c>
      <c r="D138" t="s">
        <v>21</v>
      </c>
      <c r="E138" t="s">
        <v>35</v>
      </c>
      <c r="F138" t="s">
        <v>301</v>
      </c>
      <c r="G138" t="s">
        <v>29</v>
      </c>
    </row>
    <row r="139" spans="1:7" x14ac:dyDescent="0.35">
      <c r="A139" t="s">
        <v>302</v>
      </c>
      <c r="B139" s="1">
        <v>45837.385131631941</v>
      </c>
      <c r="C139" s="1">
        <v>45838.970033020836</v>
      </c>
      <c r="D139" t="s">
        <v>21</v>
      </c>
      <c r="E139" t="s">
        <v>14</v>
      </c>
      <c r="F139" t="s">
        <v>303</v>
      </c>
      <c r="G139" t="s">
        <v>29</v>
      </c>
    </row>
    <row r="140" spans="1:7" x14ac:dyDescent="0.35">
      <c r="A140" t="s">
        <v>304</v>
      </c>
      <c r="B140" s="1">
        <v>45888.557472025466</v>
      </c>
      <c r="C140" s="1">
        <v>45889.528593067131</v>
      </c>
      <c r="D140" t="s">
        <v>13</v>
      </c>
      <c r="E140" t="s">
        <v>9</v>
      </c>
      <c r="F140" t="s">
        <v>305</v>
      </c>
      <c r="G140" t="s">
        <v>16</v>
      </c>
    </row>
    <row r="141" spans="1:7" x14ac:dyDescent="0.35">
      <c r="A141" t="s">
        <v>306</v>
      </c>
      <c r="B141" s="1">
        <v>45890.610338888888</v>
      </c>
      <c r="C141" s="1">
        <v>45896.433827546294</v>
      </c>
      <c r="D141" t="s">
        <v>45</v>
      </c>
      <c r="E141" t="s">
        <v>35</v>
      </c>
      <c r="F141" t="s">
        <v>307</v>
      </c>
      <c r="G141" t="s">
        <v>29</v>
      </c>
    </row>
    <row r="142" spans="1:7" x14ac:dyDescent="0.35">
      <c r="A142" t="s">
        <v>308</v>
      </c>
      <c r="B142" s="1">
        <v>45874.456965682868</v>
      </c>
      <c r="C142" s="1">
        <v>45875.076861180554</v>
      </c>
      <c r="D142" t="s">
        <v>21</v>
      </c>
      <c r="E142" t="s">
        <v>46</v>
      </c>
      <c r="F142" t="s">
        <v>309</v>
      </c>
      <c r="G142" t="s">
        <v>16</v>
      </c>
    </row>
    <row r="143" spans="1:7" x14ac:dyDescent="0.35">
      <c r="A143" t="s">
        <v>310</v>
      </c>
      <c r="B143" s="1">
        <v>45887.431979837966</v>
      </c>
      <c r="C143" s="1">
        <v>45887.968167638886</v>
      </c>
      <c r="D143" t="s">
        <v>21</v>
      </c>
      <c r="E143" t="s">
        <v>9</v>
      </c>
      <c r="F143" t="s">
        <v>311</v>
      </c>
      <c r="G143" t="s">
        <v>16</v>
      </c>
    </row>
    <row r="144" spans="1:7" x14ac:dyDescent="0.35">
      <c r="A144" t="s">
        <v>312</v>
      </c>
      <c r="B144" s="1">
        <v>45913.681012118053</v>
      </c>
      <c r="C144" s="1">
        <v>45914.899067337959</v>
      </c>
      <c r="D144" t="s">
        <v>45</v>
      </c>
      <c r="E144" t="s">
        <v>25</v>
      </c>
      <c r="F144" t="s">
        <v>313</v>
      </c>
      <c r="G144" t="s">
        <v>16</v>
      </c>
    </row>
    <row r="145" spans="1:7" x14ac:dyDescent="0.35">
      <c r="A145" t="s">
        <v>314</v>
      </c>
      <c r="B145" s="1">
        <v>45872.284382627317</v>
      </c>
      <c r="C145" s="1">
        <v>45875.951124525462</v>
      </c>
      <c r="D145" t="s">
        <v>21</v>
      </c>
      <c r="E145" t="s">
        <v>22</v>
      </c>
      <c r="F145" t="s">
        <v>315</v>
      </c>
      <c r="G145" t="s">
        <v>29</v>
      </c>
    </row>
    <row r="146" spans="1:7" x14ac:dyDescent="0.35">
      <c r="A146" t="s">
        <v>316</v>
      </c>
      <c r="B146" s="1">
        <v>45835.128006678242</v>
      </c>
      <c r="C146" s="1">
        <v>45835.63756747685</v>
      </c>
      <c r="D146" t="s">
        <v>13</v>
      </c>
      <c r="E146" t="s">
        <v>46</v>
      </c>
      <c r="F146" t="s">
        <v>317</v>
      </c>
      <c r="G146" t="s">
        <v>16</v>
      </c>
    </row>
    <row r="147" spans="1:7" x14ac:dyDescent="0.35">
      <c r="A147" t="s">
        <v>318</v>
      </c>
      <c r="B147" s="1">
        <v>45900.65947421296</v>
      </c>
      <c r="C147" s="1">
        <v>45900.743211898145</v>
      </c>
      <c r="D147" t="s">
        <v>81</v>
      </c>
      <c r="E147" t="s">
        <v>22</v>
      </c>
      <c r="F147" t="s">
        <v>319</v>
      </c>
      <c r="G147" t="s">
        <v>115</v>
      </c>
    </row>
    <row r="148" spans="1:7" x14ac:dyDescent="0.35">
      <c r="A148" t="s">
        <v>320</v>
      </c>
      <c r="B148" s="1">
        <v>45832.460665983795</v>
      </c>
      <c r="C148" s="1">
        <v>45832.787722476853</v>
      </c>
      <c r="D148" t="s">
        <v>45</v>
      </c>
      <c r="E148" t="s">
        <v>35</v>
      </c>
      <c r="F148" t="s">
        <v>321</v>
      </c>
      <c r="G148" t="s">
        <v>11</v>
      </c>
    </row>
    <row r="149" spans="1:7" x14ac:dyDescent="0.35">
      <c r="A149" t="s">
        <v>322</v>
      </c>
      <c r="B149" s="1">
        <v>45902.70604621528</v>
      </c>
      <c r="C149" s="1">
        <v>45906.209134826386</v>
      </c>
      <c r="D149" t="s">
        <v>60</v>
      </c>
      <c r="E149" t="s">
        <v>22</v>
      </c>
      <c r="F149" t="s">
        <v>323</v>
      </c>
      <c r="G149" t="s">
        <v>29</v>
      </c>
    </row>
    <row r="150" spans="1:7" x14ac:dyDescent="0.35">
      <c r="A150" t="s">
        <v>324</v>
      </c>
      <c r="B150" s="1">
        <v>45854.598774027778</v>
      </c>
      <c r="C150" s="1">
        <v>45855.701526377314</v>
      </c>
      <c r="D150" t="s">
        <v>8</v>
      </c>
      <c r="E150" t="s">
        <v>42</v>
      </c>
      <c r="F150" t="s">
        <v>325</v>
      </c>
      <c r="G150" t="s">
        <v>16</v>
      </c>
    </row>
    <row r="151" spans="1:7" x14ac:dyDescent="0.35">
      <c r="A151" t="s">
        <v>326</v>
      </c>
      <c r="B151" s="1">
        <v>45869.175449467592</v>
      </c>
      <c r="C151" s="1">
        <v>45870.175988194445</v>
      </c>
      <c r="D151" t="s">
        <v>21</v>
      </c>
      <c r="E151" t="s">
        <v>9</v>
      </c>
      <c r="F151" t="s">
        <v>327</v>
      </c>
      <c r="G151"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00A40-8B64-45B6-9D56-897369B32CCC}">
  <dimension ref="A1:S151"/>
  <sheetViews>
    <sheetView topLeftCell="A2" workbookViewId="0">
      <selection activeCell="A2" sqref="A2:M151"/>
    </sheetView>
  </sheetViews>
  <sheetFormatPr defaultRowHeight="14.5" x14ac:dyDescent="0.35"/>
  <cols>
    <col min="1" max="1" width="11.08984375" bestFit="1" customWidth="1"/>
    <col min="2" max="2" width="18.90625" bestFit="1" customWidth="1"/>
    <col min="3" max="3" width="17.36328125" bestFit="1" customWidth="1"/>
    <col min="4" max="5" width="16.54296875" bestFit="1" customWidth="1"/>
    <col min="6" max="6" width="10.26953125" bestFit="1" customWidth="1"/>
    <col min="7" max="7" width="17.36328125" bestFit="1" customWidth="1"/>
    <col min="8" max="8" width="80.7265625" bestFit="1" customWidth="1"/>
    <col min="9" max="9" width="9.26953125" customWidth="1"/>
    <col min="10" max="10" width="20.90625" bestFit="1" customWidth="1"/>
    <col min="11" max="11" width="11.7265625" bestFit="1" customWidth="1"/>
    <col min="12" max="12" width="13" bestFit="1" customWidth="1"/>
    <col min="13" max="13" width="11.26953125" bestFit="1" customWidth="1"/>
  </cols>
  <sheetData>
    <row r="1" spans="1:19" x14ac:dyDescent="0.35">
      <c r="A1" t="s">
        <v>0</v>
      </c>
      <c r="B1" t="s">
        <v>1</v>
      </c>
      <c r="C1" t="s">
        <v>328</v>
      </c>
      <c r="D1" t="s">
        <v>2</v>
      </c>
      <c r="E1" t="s">
        <v>329</v>
      </c>
      <c r="F1" t="s">
        <v>3</v>
      </c>
      <c r="G1" t="s">
        <v>4</v>
      </c>
      <c r="H1" t="s">
        <v>5</v>
      </c>
      <c r="I1" t="s">
        <v>6</v>
      </c>
      <c r="J1" t="s">
        <v>330</v>
      </c>
      <c r="K1" t="s">
        <v>331</v>
      </c>
      <c r="L1" t="s">
        <v>332</v>
      </c>
      <c r="M1" t="s">
        <v>333</v>
      </c>
    </row>
    <row r="2" spans="1:19" x14ac:dyDescent="0.35">
      <c r="A2" t="s">
        <v>7</v>
      </c>
      <c r="B2" s="3">
        <v>45835</v>
      </c>
      <c r="C2" s="4">
        <v>0.94184027777777779</v>
      </c>
      <c r="D2" s="3">
        <v>45836</v>
      </c>
      <c r="E2" s="4">
        <v>0.15740740740740741</v>
      </c>
      <c r="F2" t="s">
        <v>8</v>
      </c>
      <c r="G2" t="s">
        <v>9</v>
      </c>
      <c r="H2" t="s">
        <v>10</v>
      </c>
      <c r="I2" t="s">
        <v>11</v>
      </c>
      <c r="J2">
        <f t="shared" ref="J2:J33" si="0">(D2-B2)*24</f>
        <v>24</v>
      </c>
      <c r="K2" t="str">
        <f>TEXT(Cleaned_Data[[#This Row],[submission_date]],"ddd")</f>
        <v>Fri</v>
      </c>
      <c r="L2" t="str">
        <f>TEXT(Cleaned_Data[[#This Row],[submission_date]],"MMM")</f>
        <v>Jun</v>
      </c>
      <c r="M2">
        <f>HOUR(Cleaned_Data[[#This Row],[submission_time]])</f>
        <v>22</v>
      </c>
      <c r="P2" s="15" t="s">
        <v>374</v>
      </c>
      <c r="Q2" s="15"/>
      <c r="R2" s="16">
        <f>COUNT(B2:B151)</f>
        <v>150</v>
      </c>
      <c r="S2" s="16"/>
    </row>
    <row r="3" spans="1:19" x14ac:dyDescent="0.35">
      <c r="A3" t="s">
        <v>12</v>
      </c>
      <c r="B3" s="3">
        <v>45901</v>
      </c>
      <c r="C3" s="4">
        <v>0.81109953703703708</v>
      </c>
      <c r="D3" s="3">
        <v>45903</v>
      </c>
      <c r="E3" s="4">
        <v>0.30422453703703706</v>
      </c>
      <c r="F3" t="s">
        <v>13</v>
      </c>
      <c r="G3" t="s">
        <v>14</v>
      </c>
      <c r="H3" t="s">
        <v>15</v>
      </c>
      <c r="I3" t="s">
        <v>16</v>
      </c>
      <c r="J3">
        <f t="shared" si="0"/>
        <v>48</v>
      </c>
      <c r="K3" t="str">
        <f>TEXT(Cleaned_Data[[#This Row],[submission_date]],"ddd")</f>
        <v>Mon</v>
      </c>
      <c r="L3" t="str">
        <f>TEXT(Cleaned_Data[[#This Row],[submission_date]],"MMM")</f>
        <v>Sep</v>
      </c>
      <c r="M3">
        <f>HOUR(Cleaned_Data[[#This Row],[submission_time]])</f>
        <v>19</v>
      </c>
      <c r="P3" s="15" t="s">
        <v>375</v>
      </c>
      <c r="Q3" s="15"/>
      <c r="R3" s="17">
        <f>AVERAGE(J2:J151)</f>
        <v>52.8</v>
      </c>
      <c r="S3" s="16"/>
    </row>
    <row r="4" spans="1:19" x14ac:dyDescent="0.35">
      <c r="A4" t="s">
        <v>17</v>
      </c>
      <c r="B4" s="3">
        <v>45904</v>
      </c>
      <c r="C4" s="4">
        <v>0.39724537037037039</v>
      </c>
      <c r="D4" s="3">
        <v>45905</v>
      </c>
      <c r="E4" s="4">
        <v>0.9934722222222222</v>
      </c>
      <c r="F4" t="s">
        <v>8</v>
      </c>
      <c r="G4" t="s">
        <v>18</v>
      </c>
      <c r="H4" t="s">
        <v>19</v>
      </c>
      <c r="I4" t="s">
        <v>16</v>
      </c>
      <c r="J4">
        <f t="shared" si="0"/>
        <v>24</v>
      </c>
      <c r="K4" t="str">
        <f>TEXT(Cleaned_Data[[#This Row],[submission_date]],"ddd")</f>
        <v>Thu</v>
      </c>
      <c r="L4" t="str">
        <f>TEXT(Cleaned_Data[[#This Row],[submission_date]],"MMM")</f>
        <v>Sep</v>
      </c>
      <c r="M4">
        <f>HOUR(Cleaned_Data[[#This Row],[submission_time]])</f>
        <v>9</v>
      </c>
      <c r="P4" s="15" t="s">
        <v>376</v>
      </c>
      <c r="Q4" s="15"/>
      <c r="R4" s="16" t="s">
        <v>377</v>
      </c>
      <c r="S4" s="16"/>
    </row>
    <row r="5" spans="1:19" x14ac:dyDescent="0.35">
      <c r="A5" t="s">
        <v>20</v>
      </c>
      <c r="B5" s="3">
        <v>45866</v>
      </c>
      <c r="C5" s="4">
        <v>0.74135416666666665</v>
      </c>
      <c r="D5" s="3">
        <v>45867</v>
      </c>
      <c r="E5" s="4">
        <v>6.8275462962962968E-2</v>
      </c>
      <c r="F5" t="s">
        <v>21</v>
      </c>
      <c r="G5" t="s">
        <v>22</v>
      </c>
      <c r="H5" t="s">
        <v>23</v>
      </c>
      <c r="I5" t="s">
        <v>11</v>
      </c>
      <c r="J5">
        <f t="shared" si="0"/>
        <v>24</v>
      </c>
      <c r="K5" t="str">
        <f>TEXT(Cleaned_Data[[#This Row],[submission_date]],"ddd")</f>
        <v>Mon</v>
      </c>
      <c r="L5" t="str">
        <f>TEXT(Cleaned_Data[[#This Row],[submission_date]],"MMM")</f>
        <v>Jul</v>
      </c>
      <c r="M5">
        <f>HOUR(Cleaned_Data[[#This Row],[submission_time]])</f>
        <v>17</v>
      </c>
      <c r="P5" s="15" t="s">
        <v>378</v>
      </c>
      <c r="Q5" s="15"/>
      <c r="R5" s="16" t="s">
        <v>9</v>
      </c>
      <c r="S5" s="16"/>
    </row>
    <row r="6" spans="1:19" x14ac:dyDescent="0.35">
      <c r="A6" t="s">
        <v>24</v>
      </c>
      <c r="B6" s="3">
        <v>45903</v>
      </c>
      <c r="C6" s="4">
        <v>0.90703703703703709</v>
      </c>
      <c r="D6" s="3">
        <v>45904</v>
      </c>
      <c r="E6" s="4">
        <v>0.28688657407407409</v>
      </c>
      <c r="F6" t="s">
        <v>13</v>
      </c>
      <c r="G6" t="s">
        <v>25</v>
      </c>
      <c r="H6" t="s">
        <v>26</v>
      </c>
      <c r="I6" t="s">
        <v>11</v>
      </c>
      <c r="J6">
        <f t="shared" si="0"/>
        <v>24</v>
      </c>
      <c r="K6" t="str">
        <f>TEXT(Cleaned_Data[[#This Row],[submission_date]],"ddd")</f>
        <v>Wed</v>
      </c>
      <c r="L6" t="str">
        <f>TEXT(Cleaned_Data[[#This Row],[submission_date]],"MMM")</f>
        <v>Sep</v>
      </c>
      <c r="M6">
        <f>HOUR(Cleaned_Data[[#This Row],[submission_time]])</f>
        <v>21</v>
      </c>
      <c r="P6" s="15" t="s">
        <v>379</v>
      </c>
      <c r="Q6" s="15"/>
      <c r="R6" s="16">
        <f>AVERAGE(M2:M151)</f>
        <v>11.586666666666666</v>
      </c>
      <c r="S6" s="16"/>
    </row>
    <row r="7" spans="1:19" x14ac:dyDescent="0.35">
      <c r="A7" t="s">
        <v>27</v>
      </c>
      <c r="B7" s="3">
        <v>45873</v>
      </c>
      <c r="C7" s="4">
        <v>0.85601851851851851</v>
      </c>
      <c r="D7" s="3">
        <v>45879</v>
      </c>
      <c r="E7" s="4">
        <v>0.41158564814814813</v>
      </c>
      <c r="F7" t="s">
        <v>13</v>
      </c>
      <c r="G7" t="s">
        <v>18</v>
      </c>
      <c r="H7" t="s">
        <v>28</v>
      </c>
      <c r="I7" t="s">
        <v>29</v>
      </c>
      <c r="J7">
        <f t="shared" si="0"/>
        <v>144</v>
      </c>
      <c r="K7" t="str">
        <f>TEXT(Cleaned_Data[[#This Row],[submission_date]],"ddd")</f>
        <v>Mon</v>
      </c>
      <c r="L7" t="str">
        <f>TEXT(Cleaned_Data[[#This Row],[submission_date]],"MMM")</f>
        <v>Aug</v>
      </c>
      <c r="M7">
        <f>HOUR(Cleaned_Data[[#This Row],[submission_time]])</f>
        <v>20</v>
      </c>
    </row>
    <row r="8" spans="1:19" x14ac:dyDescent="0.35">
      <c r="A8" t="s">
        <v>30</v>
      </c>
      <c r="B8" s="3">
        <v>45891</v>
      </c>
      <c r="C8" s="4">
        <v>0.44322916666666667</v>
      </c>
      <c r="D8" s="3">
        <v>45892</v>
      </c>
      <c r="E8" s="4">
        <v>0.5915393518518518</v>
      </c>
      <c r="F8" t="s">
        <v>31</v>
      </c>
      <c r="G8" t="s">
        <v>32</v>
      </c>
      <c r="H8" t="s">
        <v>33</v>
      </c>
      <c r="I8" t="s">
        <v>29</v>
      </c>
      <c r="J8">
        <f t="shared" si="0"/>
        <v>24</v>
      </c>
      <c r="K8" t="str">
        <f>TEXT(Cleaned_Data[[#This Row],[submission_date]],"ddd")</f>
        <v>Fri</v>
      </c>
      <c r="L8" t="str">
        <f>TEXT(Cleaned_Data[[#This Row],[submission_date]],"MMM")</f>
        <v>Aug</v>
      </c>
      <c r="M8">
        <f>HOUR(Cleaned_Data[[#This Row],[submission_time]])</f>
        <v>10</v>
      </c>
    </row>
    <row r="9" spans="1:19" x14ac:dyDescent="0.35">
      <c r="A9" t="s">
        <v>34</v>
      </c>
      <c r="B9" s="3">
        <v>45843</v>
      </c>
      <c r="C9" s="4">
        <v>0.32184027777777779</v>
      </c>
      <c r="D9" s="3">
        <v>45847</v>
      </c>
      <c r="E9" s="4">
        <v>0.85160879629629627</v>
      </c>
      <c r="F9" t="s">
        <v>13</v>
      </c>
      <c r="G9" t="s">
        <v>35</v>
      </c>
      <c r="H9" t="s">
        <v>36</v>
      </c>
      <c r="I9" t="s">
        <v>29</v>
      </c>
      <c r="J9">
        <f t="shared" si="0"/>
        <v>96</v>
      </c>
      <c r="K9" t="str">
        <f>TEXT(Cleaned_Data[[#This Row],[submission_date]],"ddd")</f>
        <v>Sat</v>
      </c>
      <c r="L9" t="str">
        <f>TEXT(Cleaned_Data[[#This Row],[submission_date]],"MMM")</f>
        <v>Jul</v>
      </c>
      <c r="M9">
        <f>HOUR(Cleaned_Data[[#This Row],[submission_time]])</f>
        <v>7</v>
      </c>
    </row>
    <row r="10" spans="1:19" x14ac:dyDescent="0.35">
      <c r="A10" t="s">
        <v>37</v>
      </c>
      <c r="B10" s="3">
        <v>45845</v>
      </c>
      <c r="C10" s="4">
        <v>0.69528935185185181</v>
      </c>
      <c r="D10" s="3">
        <v>45846</v>
      </c>
      <c r="E10" s="4">
        <v>0.41976851851851854</v>
      </c>
      <c r="F10" t="s">
        <v>21</v>
      </c>
      <c r="G10" t="s">
        <v>35</v>
      </c>
      <c r="H10" t="s">
        <v>38</v>
      </c>
      <c r="I10" t="s">
        <v>16</v>
      </c>
      <c r="J10">
        <f t="shared" si="0"/>
        <v>24</v>
      </c>
      <c r="K10" t="str">
        <f>TEXT(Cleaned_Data[[#This Row],[submission_date]],"ddd")</f>
        <v>Mon</v>
      </c>
      <c r="L10" t="str">
        <f>TEXT(Cleaned_Data[[#This Row],[submission_date]],"MMM")</f>
        <v>Jul</v>
      </c>
      <c r="M10">
        <f>HOUR(Cleaned_Data[[#This Row],[submission_time]])</f>
        <v>16</v>
      </c>
    </row>
    <row r="11" spans="1:19" x14ac:dyDescent="0.35">
      <c r="A11" t="s">
        <v>39</v>
      </c>
      <c r="B11" s="3">
        <v>45910</v>
      </c>
      <c r="C11" s="4">
        <v>0.61773148148148149</v>
      </c>
      <c r="D11" s="3">
        <v>45911</v>
      </c>
      <c r="E11" s="4">
        <v>0.83237268518518515</v>
      </c>
      <c r="F11" t="s">
        <v>13</v>
      </c>
      <c r="G11" t="s">
        <v>18</v>
      </c>
      <c r="H11" t="s">
        <v>40</v>
      </c>
      <c r="I11" t="s">
        <v>16</v>
      </c>
      <c r="J11">
        <f t="shared" si="0"/>
        <v>24</v>
      </c>
      <c r="K11" t="str">
        <f>TEXT(Cleaned_Data[[#This Row],[submission_date]],"ddd")</f>
        <v>Wed</v>
      </c>
      <c r="L11" t="str">
        <f>TEXT(Cleaned_Data[[#This Row],[submission_date]],"MMM")</f>
        <v>Sep</v>
      </c>
      <c r="M11">
        <f>HOUR(Cleaned_Data[[#This Row],[submission_time]])</f>
        <v>14</v>
      </c>
    </row>
    <row r="12" spans="1:19" x14ac:dyDescent="0.35">
      <c r="A12" t="s">
        <v>41</v>
      </c>
      <c r="B12" s="3">
        <v>45896</v>
      </c>
      <c r="C12" s="4">
        <v>0.55556712962962962</v>
      </c>
      <c r="D12" s="3">
        <v>45902</v>
      </c>
      <c r="E12" s="4">
        <v>0.68646990740740743</v>
      </c>
      <c r="F12" t="s">
        <v>13</v>
      </c>
      <c r="G12" t="s">
        <v>42</v>
      </c>
      <c r="H12" t="s">
        <v>43</v>
      </c>
      <c r="I12" t="s">
        <v>29</v>
      </c>
      <c r="J12">
        <f t="shared" si="0"/>
        <v>144</v>
      </c>
      <c r="K12" t="str">
        <f>TEXT(Cleaned_Data[[#This Row],[submission_date]],"ddd")</f>
        <v>Wed</v>
      </c>
      <c r="L12" t="str">
        <f>TEXT(Cleaned_Data[[#This Row],[submission_date]],"MMM")</f>
        <v>Aug</v>
      </c>
      <c r="M12">
        <f>HOUR(Cleaned_Data[[#This Row],[submission_time]])</f>
        <v>13</v>
      </c>
    </row>
    <row r="13" spans="1:19" x14ac:dyDescent="0.35">
      <c r="A13" t="s">
        <v>44</v>
      </c>
      <c r="B13" s="3">
        <v>45832</v>
      </c>
      <c r="C13" s="4">
        <v>8.0763888888888885E-2</v>
      </c>
      <c r="D13" s="3">
        <v>45832</v>
      </c>
      <c r="E13" s="4">
        <v>0.24064814814814814</v>
      </c>
      <c r="F13" t="s">
        <v>45</v>
      </c>
      <c r="G13" t="s">
        <v>46</v>
      </c>
      <c r="H13" t="s">
        <v>47</v>
      </c>
      <c r="I13" t="s">
        <v>11</v>
      </c>
      <c r="J13">
        <f t="shared" si="0"/>
        <v>0</v>
      </c>
      <c r="K13" t="str">
        <f>TEXT(Cleaned_Data[[#This Row],[submission_date]],"ddd")</f>
        <v>Tue</v>
      </c>
      <c r="L13" t="str">
        <f>TEXT(Cleaned_Data[[#This Row],[submission_date]],"MMM")</f>
        <v>Jun</v>
      </c>
      <c r="M13">
        <f>HOUR(Cleaned_Data[[#This Row],[submission_time]])</f>
        <v>1</v>
      </c>
    </row>
    <row r="14" spans="1:19" x14ac:dyDescent="0.35">
      <c r="A14" t="s">
        <v>48</v>
      </c>
      <c r="B14" s="3">
        <v>45836</v>
      </c>
      <c r="C14" s="4">
        <v>0.41096064814814814</v>
      </c>
      <c r="D14" s="3">
        <v>45837</v>
      </c>
      <c r="E14" s="4">
        <v>0.12408564814814815</v>
      </c>
      <c r="F14" t="s">
        <v>45</v>
      </c>
      <c r="G14" t="s">
        <v>9</v>
      </c>
      <c r="H14" t="s">
        <v>49</v>
      </c>
      <c r="I14" t="s">
        <v>16</v>
      </c>
      <c r="J14">
        <f t="shared" si="0"/>
        <v>24</v>
      </c>
      <c r="K14" t="str">
        <f>TEXT(Cleaned_Data[[#This Row],[submission_date]],"ddd")</f>
        <v>Sat</v>
      </c>
      <c r="L14" t="str">
        <f>TEXT(Cleaned_Data[[#This Row],[submission_date]],"MMM")</f>
        <v>Jun</v>
      </c>
      <c r="M14">
        <f>HOUR(Cleaned_Data[[#This Row],[submission_time]])</f>
        <v>9</v>
      </c>
    </row>
    <row r="15" spans="1:19" x14ac:dyDescent="0.35">
      <c r="A15" t="s">
        <v>50</v>
      </c>
      <c r="B15" s="3">
        <v>45860</v>
      </c>
      <c r="C15" s="4">
        <v>0.38116898148148148</v>
      </c>
      <c r="D15" s="3">
        <v>45864</v>
      </c>
      <c r="E15" s="4">
        <v>0.6629976851851852</v>
      </c>
      <c r="F15" t="s">
        <v>13</v>
      </c>
      <c r="G15" t="s">
        <v>35</v>
      </c>
      <c r="H15" t="s">
        <v>51</v>
      </c>
      <c r="I15" t="s">
        <v>29</v>
      </c>
      <c r="J15">
        <f t="shared" si="0"/>
        <v>96</v>
      </c>
      <c r="K15" t="str">
        <f>TEXT(Cleaned_Data[[#This Row],[submission_date]],"ddd")</f>
        <v>Tue</v>
      </c>
      <c r="L15" t="str">
        <f>TEXT(Cleaned_Data[[#This Row],[submission_date]],"MMM")</f>
        <v>Jul</v>
      </c>
      <c r="M15">
        <f>HOUR(Cleaned_Data[[#This Row],[submission_time]])</f>
        <v>9</v>
      </c>
    </row>
    <row r="16" spans="1:19" x14ac:dyDescent="0.35">
      <c r="A16" t="s">
        <v>52</v>
      </c>
      <c r="B16" s="3">
        <v>45847</v>
      </c>
      <c r="C16" s="4">
        <v>0.93956018518518514</v>
      </c>
      <c r="D16" s="3">
        <v>45848</v>
      </c>
      <c r="E16" s="4">
        <v>4.9664351851851848E-2</v>
      </c>
      <c r="F16" t="s">
        <v>13</v>
      </c>
      <c r="G16" t="s">
        <v>14</v>
      </c>
      <c r="H16" t="s">
        <v>53</v>
      </c>
      <c r="I16" t="s">
        <v>11</v>
      </c>
      <c r="J16">
        <f t="shared" si="0"/>
        <v>24</v>
      </c>
      <c r="K16" t="str">
        <f>TEXT(Cleaned_Data[[#This Row],[submission_date]],"ddd")</f>
        <v>Wed</v>
      </c>
      <c r="L16" t="str">
        <f>TEXT(Cleaned_Data[[#This Row],[submission_date]],"MMM")</f>
        <v>Jul</v>
      </c>
      <c r="M16">
        <f>HOUR(Cleaned_Data[[#This Row],[submission_time]])</f>
        <v>22</v>
      </c>
    </row>
    <row r="17" spans="1:13" x14ac:dyDescent="0.35">
      <c r="A17" t="s">
        <v>54</v>
      </c>
      <c r="B17" s="3">
        <v>45861</v>
      </c>
      <c r="C17" s="4">
        <v>0.94039351851851849</v>
      </c>
      <c r="D17" s="3">
        <v>45862</v>
      </c>
      <c r="E17" s="4">
        <v>5.5567129629629633E-2</v>
      </c>
      <c r="F17" t="s">
        <v>13</v>
      </c>
      <c r="G17" t="s">
        <v>55</v>
      </c>
      <c r="H17" t="s">
        <v>56</v>
      </c>
      <c r="I17" t="s">
        <v>11</v>
      </c>
      <c r="J17">
        <f t="shared" si="0"/>
        <v>24</v>
      </c>
      <c r="K17" t="str">
        <f>TEXT(Cleaned_Data[[#This Row],[submission_date]],"ddd")</f>
        <v>Wed</v>
      </c>
      <c r="L17" t="str">
        <f>TEXT(Cleaned_Data[[#This Row],[submission_date]],"MMM")</f>
        <v>Jul</v>
      </c>
      <c r="M17">
        <f>HOUR(Cleaned_Data[[#This Row],[submission_time]])</f>
        <v>22</v>
      </c>
    </row>
    <row r="18" spans="1:13" x14ac:dyDescent="0.35">
      <c r="A18" t="s">
        <v>57</v>
      </c>
      <c r="B18" s="3">
        <v>45875</v>
      </c>
      <c r="C18" s="4">
        <v>0.49450231481481483</v>
      </c>
      <c r="D18" s="3">
        <v>45880</v>
      </c>
      <c r="E18" s="4">
        <v>0.34643518518518518</v>
      </c>
      <c r="F18" t="s">
        <v>13</v>
      </c>
      <c r="G18" t="s">
        <v>35</v>
      </c>
      <c r="H18" t="s">
        <v>58</v>
      </c>
      <c r="I18" t="s">
        <v>29</v>
      </c>
      <c r="J18">
        <f t="shared" si="0"/>
        <v>120</v>
      </c>
      <c r="K18" t="str">
        <f>TEXT(Cleaned_Data[[#This Row],[submission_date]],"ddd")</f>
        <v>Wed</v>
      </c>
      <c r="L18" t="str">
        <f>TEXT(Cleaned_Data[[#This Row],[submission_date]],"MMM")</f>
        <v>Aug</v>
      </c>
      <c r="M18">
        <f>HOUR(Cleaned_Data[[#This Row],[submission_time]])</f>
        <v>11</v>
      </c>
    </row>
    <row r="19" spans="1:13" x14ac:dyDescent="0.35">
      <c r="A19" t="s">
        <v>59</v>
      </c>
      <c r="B19" s="3">
        <v>45838</v>
      </c>
      <c r="C19" s="4">
        <v>0.69598379629629625</v>
      </c>
      <c r="D19" s="3">
        <v>45840</v>
      </c>
      <c r="E19" s="4">
        <v>0.85923611111111109</v>
      </c>
      <c r="F19" t="s">
        <v>60</v>
      </c>
      <c r="G19" t="s">
        <v>9</v>
      </c>
      <c r="H19" t="s">
        <v>61</v>
      </c>
      <c r="I19" t="s">
        <v>29</v>
      </c>
      <c r="J19">
        <f t="shared" si="0"/>
        <v>48</v>
      </c>
      <c r="K19" t="str">
        <f>TEXT(Cleaned_Data[[#This Row],[submission_date]],"ddd")</f>
        <v>Mon</v>
      </c>
      <c r="L19" t="str">
        <f>TEXT(Cleaned_Data[[#This Row],[submission_date]],"MMM")</f>
        <v>Jun</v>
      </c>
      <c r="M19">
        <f>HOUR(Cleaned_Data[[#This Row],[submission_time]])</f>
        <v>16</v>
      </c>
    </row>
    <row r="20" spans="1:13" x14ac:dyDescent="0.35">
      <c r="A20" t="s">
        <v>62</v>
      </c>
      <c r="B20" s="3">
        <v>45838</v>
      </c>
      <c r="C20" s="4">
        <v>0.96046296296296296</v>
      </c>
      <c r="D20" s="3">
        <v>45842</v>
      </c>
      <c r="E20" s="4">
        <v>0.4919560185185185</v>
      </c>
      <c r="F20" t="s">
        <v>45</v>
      </c>
      <c r="G20" t="s">
        <v>22</v>
      </c>
      <c r="H20" t="s">
        <v>63</v>
      </c>
      <c r="I20" t="s">
        <v>29</v>
      </c>
      <c r="J20">
        <f t="shared" si="0"/>
        <v>96</v>
      </c>
      <c r="K20" t="str">
        <f>TEXT(Cleaned_Data[[#This Row],[submission_date]],"ddd")</f>
        <v>Mon</v>
      </c>
      <c r="L20" t="str">
        <f>TEXT(Cleaned_Data[[#This Row],[submission_date]],"MMM")</f>
        <v>Jun</v>
      </c>
      <c r="M20">
        <f>HOUR(Cleaned_Data[[#This Row],[submission_time]])</f>
        <v>23</v>
      </c>
    </row>
    <row r="21" spans="1:13" x14ac:dyDescent="0.35">
      <c r="A21" t="s">
        <v>64</v>
      </c>
      <c r="B21" s="3">
        <v>45841</v>
      </c>
      <c r="C21" s="4">
        <v>0.31059027777777776</v>
      </c>
      <c r="D21" s="3">
        <v>45842</v>
      </c>
      <c r="E21" s="4">
        <v>0.99905092592592593</v>
      </c>
      <c r="F21" t="s">
        <v>21</v>
      </c>
      <c r="G21" t="s">
        <v>22</v>
      </c>
      <c r="H21" t="s">
        <v>65</v>
      </c>
      <c r="I21" t="s">
        <v>16</v>
      </c>
      <c r="J21">
        <f t="shared" si="0"/>
        <v>24</v>
      </c>
      <c r="K21" t="str">
        <f>TEXT(Cleaned_Data[[#This Row],[submission_date]],"ddd")</f>
        <v>Thu</v>
      </c>
      <c r="L21" t="str">
        <f>TEXT(Cleaned_Data[[#This Row],[submission_date]],"MMM")</f>
        <v>Jul</v>
      </c>
      <c r="M21">
        <f>HOUR(Cleaned_Data[[#This Row],[submission_time]])</f>
        <v>7</v>
      </c>
    </row>
    <row r="22" spans="1:13" x14ac:dyDescent="0.35">
      <c r="A22" t="s">
        <v>66</v>
      </c>
      <c r="B22" s="3">
        <v>45831</v>
      </c>
      <c r="C22" s="4">
        <v>0.95112268518518517</v>
      </c>
      <c r="D22" s="3">
        <v>45833</v>
      </c>
      <c r="E22" s="4">
        <v>0.46296296296296297</v>
      </c>
      <c r="F22" t="s">
        <v>13</v>
      </c>
      <c r="G22" t="s">
        <v>14</v>
      </c>
      <c r="H22" t="s">
        <v>67</v>
      </c>
      <c r="I22" t="s">
        <v>16</v>
      </c>
      <c r="J22">
        <f t="shared" si="0"/>
        <v>48</v>
      </c>
      <c r="K22" t="str">
        <f>TEXT(Cleaned_Data[[#This Row],[submission_date]],"ddd")</f>
        <v>Mon</v>
      </c>
      <c r="L22" t="str">
        <f>TEXT(Cleaned_Data[[#This Row],[submission_date]],"MMM")</f>
        <v>Jun</v>
      </c>
      <c r="M22">
        <f>HOUR(Cleaned_Data[[#This Row],[submission_time]])</f>
        <v>22</v>
      </c>
    </row>
    <row r="23" spans="1:13" x14ac:dyDescent="0.35">
      <c r="A23" t="s">
        <v>68</v>
      </c>
      <c r="B23" s="3">
        <v>45846</v>
      </c>
      <c r="C23" s="4">
        <v>0.48259259259259257</v>
      </c>
      <c r="D23" s="3">
        <v>45848</v>
      </c>
      <c r="E23" s="4">
        <v>0.39250000000000002</v>
      </c>
      <c r="F23" t="s">
        <v>13</v>
      </c>
      <c r="G23" t="s">
        <v>9</v>
      </c>
      <c r="H23" t="s">
        <v>69</v>
      </c>
      <c r="I23" t="s">
        <v>16</v>
      </c>
      <c r="J23">
        <f t="shared" si="0"/>
        <v>48</v>
      </c>
      <c r="K23" t="str">
        <f>TEXT(Cleaned_Data[[#This Row],[submission_date]],"ddd")</f>
        <v>Tue</v>
      </c>
      <c r="L23" t="str">
        <f>TEXT(Cleaned_Data[[#This Row],[submission_date]],"MMM")</f>
        <v>Jul</v>
      </c>
      <c r="M23">
        <f>HOUR(Cleaned_Data[[#This Row],[submission_time]])</f>
        <v>11</v>
      </c>
    </row>
    <row r="24" spans="1:13" x14ac:dyDescent="0.35">
      <c r="A24" t="s">
        <v>70</v>
      </c>
      <c r="B24" s="3">
        <v>45830</v>
      </c>
      <c r="C24" s="4">
        <v>0.9789930555555556</v>
      </c>
      <c r="D24" s="3">
        <v>45831</v>
      </c>
      <c r="E24" s="4">
        <v>0.69043981481481487</v>
      </c>
      <c r="F24" t="s">
        <v>13</v>
      </c>
      <c r="G24" t="s">
        <v>42</v>
      </c>
      <c r="H24" t="s">
        <v>71</v>
      </c>
      <c r="I24" t="s">
        <v>16</v>
      </c>
      <c r="J24">
        <f t="shared" si="0"/>
        <v>24</v>
      </c>
      <c r="K24" t="str">
        <f>TEXT(Cleaned_Data[[#This Row],[submission_date]],"ddd")</f>
        <v>Sun</v>
      </c>
      <c r="L24" t="str">
        <f>TEXT(Cleaned_Data[[#This Row],[submission_date]],"MMM")</f>
        <v>Jun</v>
      </c>
      <c r="M24">
        <f>HOUR(Cleaned_Data[[#This Row],[submission_time]])</f>
        <v>23</v>
      </c>
    </row>
    <row r="25" spans="1:13" x14ac:dyDescent="0.35">
      <c r="A25" t="s">
        <v>72</v>
      </c>
      <c r="B25" s="3">
        <v>45898</v>
      </c>
      <c r="C25" s="4">
        <v>0.51935185185185184</v>
      </c>
      <c r="D25" s="3">
        <v>45900</v>
      </c>
      <c r="E25" s="4">
        <v>0.18314814814814814</v>
      </c>
      <c r="F25" t="s">
        <v>13</v>
      </c>
      <c r="G25" t="s">
        <v>25</v>
      </c>
      <c r="H25" t="s">
        <v>73</v>
      </c>
      <c r="I25" t="s">
        <v>16</v>
      </c>
      <c r="J25">
        <f t="shared" si="0"/>
        <v>48</v>
      </c>
      <c r="K25" t="str">
        <f>TEXT(Cleaned_Data[[#This Row],[submission_date]],"ddd")</f>
        <v>Fri</v>
      </c>
      <c r="L25" t="str">
        <f>TEXT(Cleaned_Data[[#This Row],[submission_date]],"MMM")</f>
        <v>Aug</v>
      </c>
      <c r="M25">
        <f>HOUR(Cleaned_Data[[#This Row],[submission_time]])</f>
        <v>12</v>
      </c>
    </row>
    <row r="26" spans="1:13" x14ac:dyDescent="0.35">
      <c r="A26" t="s">
        <v>74</v>
      </c>
      <c r="B26" s="3">
        <v>45850</v>
      </c>
      <c r="C26" s="4">
        <v>0.15112268518518518</v>
      </c>
      <c r="D26" s="3">
        <v>45854</v>
      </c>
      <c r="E26" s="4">
        <v>0.40457175925925926</v>
      </c>
      <c r="F26" t="s">
        <v>45</v>
      </c>
      <c r="G26" t="s">
        <v>22</v>
      </c>
      <c r="H26" t="s">
        <v>75</v>
      </c>
      <c r="I26" t="s">
        <v>29</v>
      </c>
      <c r="J26">
        <f t="shared" si="0"/>
        <v>96</v>
      </c>
      <c r="K26" t="str">
        <f>TEXT(Cleaned_Data[[#This Row],[submission_date]],"ddd")</f>
        <v>Sat</v>
      </c>
      <c r="L26" t="str">
        <f>TEXT(Cleaned_Data[[#This Row],[submission_date]],"MMM")</f>
        <v>Jul</v>
      </c>
      <c r="M26">
        <f>HOUR(Cleaned_Data[[#This Row],[submission_time]])</f>
        <v>3</v>
      </c>
    </row>
    <row r="27" spans="1:13" x14ac:dyDescent="0.35">
      <c r="A27" t="s">
        <v>76</v>
      </c>
      <c r="B27" s="3">
        <v>45851</v>
      </c>
      <c r="C27" s="4">
        <v>0.23806712962962964</v>
      </c>
      <c r="D27" s="3">
        <v>45852</v>
      </c>
      <c r="E27" s="4">
        <v>0.81664351851851846</v>
      </c>
      <c r="F27" t="s">
        <v>13</v>
      </c>
      <c r="G27" t="s">
        <v>14</v>
      </c>
      <c r="H27" t="s">
        <v>77</v>
      </c>
      <c r="I27" t="s">
        <v>16</v>
      </c>
      <c r="J27">
        <f t="shared" si="0"/>
        <v>24</v>
      </c>
      <c r="K27" t="str">
        <f>TEXT(Cleaned_Data[[#This Row],[submission_date]],"ddd")</f>
        <v>Sun</v>
      </c>
      <c r="L27" t="str">
        <f>TEXT(Cleaned_Data[[#This Row],[submission_date]],"MMM")</f>
        <v>Jul</v>
      </c>
      <c r="M27">
        <f>HOUR(Cleaned_Data[[#This Row],[submission_time]])</f>
        <v>5</v>
      </c>
    </row>
    <row r="28" spans="1:13" x14ac:dyDescent="0.35">
      <c r="A28" t="s">
        <v>78</v>
      </c>
      <c r="B28" s="3">
        <v>45832</v>
      </c>
      <c r="C28" s="4">
        <v>1.8645833333333334E-2</v>
      </c>
      <c r="D28" s="3">
        <v>45832</v>
      </c>
      <c r="E28" s="4">
        <v>0.51031249999999995</v>
      </c>
      <c r="F28" t="s">
        <v>45</v>
      </c>
      <c r="G28" t="s">
        <v>25</v>
      </c>
      <c r="H28" t="s">
        <v>79</v>
      </c>
      <c r="I28" t="s">
        <v>11</v>
      </c>
      <c r="J28">
        <f t="shared" si="0"/>
        <v>0</v>
      </c>
      <c r="K28" t="str">
        <f>TEXT(Cleaned_Data[[#This Row],[submission_date]],"ddd")</f>
        <v>Tue</v>
      </c>
      <c r="L28" t="str">
        <f>TEXT(Cleaned_Data[[#This Row],[submission_date]],"MMM")</f>
        <v>Jun</v>
      </c>
      <c r="M28">
        <f>HOUR(Cleaned_Data[[#This Row],[submission_time]])</f>
        <v>0</v>
      </c>
    </row>
    <row r="29" spans="1:13" x14ac:dyDescent="0.35">
      <c r="A29" t="s">
        <v>80</v>
      </c>
      <c r="B29" s="3">
        <v>45841</v>
      </c>
      <c r="C29" s="4">
        <v>0.81186342592592597</v>
      </c>
      <c r="D29" s="3">
        <v>45843</v>
      </c>
      <c r="E29" s="4">
        <v>0.71890046296296295</v>
      </c>
      <c r="F29" t="s">
        <v>81</v>
      </c>
      <c r="G29" t="s">
        <v>14</v>
      </c>
      <c r="H29" t="s">
        <v>82</v>
      </c>
      <c r="I29" t="s">
        <v>16</v>
      </c>
      <c r="J29">
        <f t="shared" si="0"/>
        <v>48</v>
      </c>
      <c r="K29" t="str">
        <f>TEXT(Cleaned_Data[[#This Row],[submission_date]],"ddd")</f>
        <v>Thu</v>
      </c>
      <c r="L29" t="str">
        <f>TEXT(Cleaned_Data[[#This Row],[submission_date]],"MMM")</f>
        <v>Jul</v>
      </c>
      <c r="M29">
        <f>HOUR(Cleaned_Data[[#This Row],[submission_time]])</f>
        <v>19</v>
      </c>
    </row>
    <row r="30" spans="1:13" x14ac:dyDescent="0.35">
      <c r="A30" t="s">
        <v>83</v>
      </c>
      <c r="B30" s="3">
        <v>45915</v>
      </c>
      <c r="C30" s="4">
        <v>0.54371527777777773</v>
      </c>
      <c r="D30" s="3">
        <v>45917</v>
      </c>
      <c r="E30" s="4">
        <v>0.33144675925925926</v>
      </c>
      <c r="F30" t="s">
        <v>8</v>
      </c>
      <c r="G30" t="s">
        <v>9</v>
      </c>
      <c r="H30" t="s">
        <v>84</v>
      </c>
      <c r="I30" t="s">
        <v>29</v>
      </c>
      <c r="J30">
        <f t="shared" si="0"/>
        <v>48</v>
      </c>
      <c r="K30" t="str">
        <f>TEXT(Cleaned_Data[[#This Row],[submission_date]],"ddd")</f>
        <v>Mon</v>
      </c>
      <c r="L30" t="str">
        <f>TEXT(Cleaned_Data[[#This Row],[submission_date]],"MMM")</f>
        <v>Sep</v>
      </c>
      <c r="M30">
        <f>HOUR(Cleaned_Data[[#This Row],[submission_time]])</f>
        <v>13</v>
      </c>
    </row>
    <row r="31" spans="1:13" x14ac:dyDescent="0.35">
      <c r="A31" t="s">
        <v>85</v>
      </c>
      <c r="B31" s="3">
        <v>45896</v>
      </c>
      <c r="C31" s="4">
        <v>0.91473379629629625</v>
      </c>
      <c r="D31" s="3">
        <v>45898</v>
      </c>
      <c r="E31" s="4">
        <v>0.27703703703703703</v>
      </c>
      <c r="F31" t="s">
        <v>13</v>
      </c>
      <c r="G31" t="s">
        <v>18</v>
      </c>
      <c r="H31" t="s">
        <v>86</v>
      </c>
      <c r="I31" t="s">
        <v>16</v>
      </c>
      <c r="J31">
        <f t="shared" si="0"/>
        <v>48</v>
      </c>
      <c r="K31" t="str">
        <f>TEXT(Cleaned_Data[[#This Row],[submission_date]],"ddd")</f>
        <v>Wed</v>
      </c>
      <c r="L31" t="str">
        <f>TEXT(Cleaned_Data[[#This Row],[submission_date]],"MMM")</f>
        <v>Aug</v>
      </c>
      <c r="M31">
        <f>HOUR(Cleaned_Data[[#This Row],[submission_time]])</f>
        <v>21</v>
      </c>
    </row>
    <row r="32" spans="1:13" x14ac:dyDescent="0.35">
      <c r="A32" t="s">
        <v>87</v>
      </c>
      <c r="B32" s="3">
        <v>45899</v>
      </c>
      <c r="C32" s="4">
        <v>0.84518518518518515</v>
      </c>
      <c r="D32" s="3">
        <v>45906</v>
      </c>
      <c r="E32" s="4">
        <v>0.10984953703703704</v>
      </c>
      <c r="F32" t="s">
        <v>45</v>
      </c>
      <c r="G32" t="s">
        <v>18</v>
      </c>
      <c r="H32" t="s">
        <v>88</v>
      </c>
      <c r="I32" t="s">
        <v>29</v>
      </c>
      <c r="J32">
        <f t="shared" si="0"/>
        <v>168</v>
      </c>
      <c r="K32" t="str">
        <f>TEXT(Cleaned_Data[[#This Row],[submission_date]],"ddd")</f>
        <v>Sat</v>
      </c>
      <c r="L32" t="str">
        <f>TEXT(Cleaned_Data[[#This Row],[submission_date]],"MMM")</f>
        <v>Aug</v>
      </c>
      <c r="M32">
        <f>HOUR(Cleaned_Data[[#This Row],[submission_time]])</f>
        <v>20</v>
      </c>
    </row>
    <row r="33" spans="1:13" x14ac:dyDescent="0.35">
      <c r="A33" t="s">
        <v>89</v>
      </c>
      <c r="B33" s="3">
        <v>45893</v>
      </c>
      <c r="C33" s="4">
        <v>0.99927083333333333</v>
      </c>
      <c r="D33" s="3">
        <v>45894</v>
      </c>
      <c r="E33" s="4">
        <v>0.31619212962962961</v>
      </c>
      <c r="F33" t="s">
        <v>13</v>
      </c>
      <c r="G33" t="s">
        <v>14</v>
      </c>
      <c r="H33" t="s">
        <v>90</v>
      </c>
      <c r="I33" t="s">
        <v>11</v>
      </c>
      <c r="J33">
        <f t="shared" si="0"/>
        <v>24</v>
      </c>
      <c r="K33" t="str">
        <f>TEXT(Cleaned_Data[[#This Row],[submission_date]],"ddd")</f>
        <v>Sun</v>
      </c>
      <c r="L33" t="str">
        <f>TEXT(Cleaned_Data[[#This Row],[submission_date]],"MMM")</f>
        <v>Aug</v>
      </c>
      <c r="M33">
        <f>HOUR(Cleaned_Data[[#This Row],[submission_time]])</f>
        <v>23</v>
      </c>
    </row>
    <row r="34" spans="1:13" x14ac:dyDescent="0.35">
      <c r="A34" t="s">
        <v>91</v>
      </c>
      <c r="B34" s="3">
        <v>45849</v>
      </c>
      <c r="C34" s="4">
        <v>0.75738425925925923</v>
      </c>
      <c r="D34" s="3">
        <v>45855</v>
      </c>
      <c r="E34" s="4">
        <v>0.27820601851851851</v>
      </c>
      <c r="F34" t="s">
        <v>45</v>
      </c>
      <c r="G34" t="s">
        <v>35</v>
      </c>
      <c r="H34" t="s">
        <v>92</v>
      </c>
      <c r="I34" t="s">
        <v>29</v>
      </c>
      <c r="J34">
        <f t="shared" ref="J34:J65" si="1">(D34-B34)*24</f>
        <v>144</v>
      </c>
      <c r="K34" t="str">
        <f>TEXT(Cleaned_Data[[#This Row],[submission_date]],"ddd")</f>
        <v>Fri</v>
      </c>
      <c r="L34" t="str">
        <f>TEXT(Cleaned_Data[[#This Row],[submission_date]],"MMM")</f>
        <v>Jul</v>
      </c>
      <c r="M34">
        <f>HOUR(Cleaned_Data[[#This Row],[submission_time]])</f>
        <v>18</v>
      </c>
    </row>
    <row r="35" spans="1:13" x14ac:dyDescent="0.35">
      <c r="A35" t="s">
        <v>93</v>
      </c>
      <c r="B35" s="3">
        <v>45904</v>
      </c>
      <c r="C35" s="4">
        <v>0.81460648148148151</v>
      </c>
      <c r="D35" s="3">
        <v>45910</v>
      </c>
      <c r="E35" s="4">
        <v>0.22832175925925927</v>
      </c>
      <c r="F35" t="s">
        <v>81</v>
      </c>
      <c r="G35" t="s">
        <v>32</v>
      </c>
      <c r="H35" t="s">
        <v>94</v>
      </c>
      <c r="I35" t="s">
        <v>29</v>
      </c>
      <c r="J35">
        <f t="shared" si="1"/>
        <v>144</v>
      </c>
      <c r="K35" t="str">
        <f>TEXT(Cleaned_Data[[#This Row],[submission_date]],"ddd")</f>
        <v>Thu</v>
      </c>
      <c r="L35" t="str">
        <f>TEXT(Cleaned_Data[[#This Row],[submission_date]],"MMM")</f>
        <v>Sep</v>
      </c>
      <c r="M35">
        <f>HOUR(Cleaned_Data[[#This Row],[submission_time]])</f>
        <v>19</v>
      </c>
    </row>
    <row r="36" spans="1:13" x14ac:dyDescent="0.35">
      <c r="A36" t="s">
        <v>95</v>
      </c>
      <c r="B36" s="3">
        <v>45893</v>
      </c>
      <c r="C36" s="4">
        <v>0.71259259259259256</v>
      </c>
      <c r="D36" s="3">
        <v>45899</v>
      </c>
      <c r="E36" s="4">
        <v>0.8217592592592593</v>
      </c>
      <c r="F36" t="s">
        <v>13</v>
      </c>
      <c r="G36" t="s">
        <v>25</v>
      </c>
      <c r="H36" t="s">
        <v>96</v>
      </c>
      <c r="I36" t="s">
        <v>29</v>
      </c>
      <c r="J36">
        <f t="shared" si="1"/>
        <v>144</v>
      </c>
      <c r="K36" t="str">
        <f>TEXT(Cleaned_Data[[#This Row],[submission_date]],"ddd")</f>
        <v>Sun</v>
      </c>
      <c r="L36" t="str">
        <f>TEXT(Cleaned_Data[[#This Row],[submission_date]],"MMM")</f>
        <v>Aug</v>
      </c>
      <c r="M36">
        <f>HOUR(Cleaned_Data[[#This Row],[submission_time]])</f>
        <v>17</v>
      </c>
    </row>
    <row r="37" spans="1:13" x14ac:dyDescent="0.35">
      <c r="A37" t="s">
        <v>97</v>
      </c>
      <c r="B37" s="3">
        <v>45838</v>
      </c>
      <c r="C37" s="4">
        <v>0.74168981481481477</v>
      </c>
      <c r="D37" s="3">
        <v>45839</v>
      </c>
      <c r="E37" s="4">
        <v>0.81721064814814814</v>
      </c>
      <c r="F37" t="s">
        <v>21</v>
      </c>
      <c r="G37" t="s">
        <v>14</v>
      </c>
      <c r="H37" t="s">
        <v>98</v>
      </c>
      <c r="I37" t="s">
        <v>29</v>
      </c>
      <c r="J37">
        <f t="shared" si="1"/>
        <v>24</v>
      </c>
      <c r="K37" t="str">
        <f>TEXT(Cleaned_Data[[#This Row],[submission_date]],"ddd")</f>
        <v>Mon</v>
      </c>
      <c r="L37" t="str">
        <f>TEXT(Cleaned_Data[[#This Row],[submission_date]],"MMM")</f>
        <v>Jun</v>
      </c>
      <c r="M37">
        <f>HOUR(Cleaned_Data[[#This Row],[submission_time]])</f>
        <v>17</v>
      </c>
    </row>
    <row r="38" spans="1:13" x14ac:dyDescent="0.35">
      <c r="A38" t="s">
        <v>99</v>
      </c>
      <c r="B38" s="3">
        <v>45909</v>
      </c>
      <c r="C38" s="4">
        <v>0.36556712962962962</v>
      </c>
      <c r="D38" s="3">
        <v>45913</v>
      </c>
      <c r="E38" s="4">
        <v>0.26306712962962964</v>
      </c>
      <c r="F38" t="s">
        <v>13</v>
      </c>
      <c r="G38" t="s">
        <v>46</v>
      </c>
      <c r="H38" t="s">
        <v>100</v>
      </c>
      <c r="I38" t="s">
        <v>29</v>
      </c>
      <c r="J38">
        <f t="shared" si="1"/>
        <v>96</v>
      </c>
      <c r="K38" t="str">
        <f>TEXT(Cleaned_Data[[#This Row],[submission_date]],"ddd")</f>
        <v>Tue</v>
      </c>
      <c r="L38" t="str">
        <f>TEXT(Cleaned_Data[[#This Row],[submission_date]],"MMM")</f>
        <v>Sep</v>
      </c>
      <c r="M38">
        <f>HOUR(Cleaned_Data[[#This Row],[submission_time]])</f>
        <v>8</v>
      </c>
    </row>
    <row r="39" spans="1:13" x14ac:dyDescent="0.35">
      <c r="A39" t="s">
        <v>101</v>
      </c>
      <c r="B39" s="3">
        <v>45880</v>
      </c>
      <c r="C39" s="4">
        <v>0.45596064814814813</v>
      </c>
      <c r="D39" s="3">
        <v>45886</v>
      </c>
      <c r="E39" s="4">
        <v>0.67174768518518524</v>
      </c>
      <c r="F39" t="s">
        <v>8</v>
      </c>
      <c r="G39" t="s">
        <v>42</v>
      </c>
      <c r="H39" t="s">
        <v>102</v>
      </c>
      <c r="I39" t="s">
        <v>29</v>
      </c>
      <c r="J39">
        <f t="shared" si="1"/>
        <v>144</v>
      </c>
      <c r="K39" t="str">
        <f>TEXT(Cleaned_Data[[#This Row],[submission_date]],"ddd")</f>
        <v>Mon</v>
      </c>
      <c r="L39" t="str">
        <f>TEXT(Cleaned_Data[[#This Row],[submission_date]],"MMM")</f>
        <v>Aug</v>
      </c>
      <c r="M39">
        <f>HOUR(Cleaned_Data[[#This Row],[submission_time]])</f>
        <v>10</v>
      </c>
    </row>
    <row r="40" spans="1:13" x14ac:dyDescent="0.35">
      <c r="A40" t="s">
        <v>103</v>
      </c>
      <c r="B40" s="3">
        <v>45901</v>
      </c>
      <c r="C40" s="4">
        <v>0.68069444444444449</v>
      </c>
      <c r="D40" s="3">
        <v>45902</v>
      </c>
      <c r="E40" s="4">
        <v>0.11324074074074074</v>
      </c>
      <c r="F40" t="s">
        <v>13</v>
      </c>
      <c r="G40" t="s">
        <v>32</v>
      </c>
      <c r="H40" t="s">
        <v>104</v>
      </c>
      <c r="I40" t="s">
        <v>16</v>
      </c>
      <c r="J40">
        <f t="shared" si="1"/>
        <v>24</v>
      </c>
      <c r="K40" t="str">
        <f>TEXT(Cleaned_Data[[#This Row],[submission_date]],"ddd")</f>
        <v>Mon</v>
      </c>
      <c r="L40" t="str">
        <f>TEXT(Cleaned_Data[[#This Row],[submission_date]],"MMM")</f>
        <v>Sep</v>
      </c>
      <c r="M40">
        <f>HOUR(Cleaned_Data[[#This Row],[submission_time]])</f>
        <v>16</v>
      </c>
    </row>
    <row r="41" spans="1:13" x14ac:dyDescent="0.35">
      <c r="A41" t="s">
        <v>105</v>
      </c>
      <c r="B41" s="3">
        <v>45883</v>
      </c>
      <c r="C41" s="4">
        <v>0.85424768518518523</v>
      </c>
      <c r="D41" s="3">
        <v>45884</v>
      </c>
      <c r="E41" s="4">
        <v>0.36409722222222224</v>
      </c>
      <c r="F41" t="s">
        <v>31</v>
      </c>
      <c r="G41" t="s">
        <v>35</v>
      </c>
      <c r="H41" t="s">
        <v>106</v>
      </c>
      <c r="I41" t="s">
        <v>16</v>
      </c>
      <c r="J41">
        <f t="shared" si="1"/>
        <v>24</v>
      </c>
      <c r="K41" t="str">
        <f>TEXT(Cleaned_Data[[#This Row],[submission_date]],"ddd")</f>
        <v>Thu</v>
      </c>
      <c r="L41" t="str">
        <f>TEXT(Cleaned_Data[[#This Row],[submission_date]],"MMM")</f>
        <v>Aug</v>
      </c>
      <c r="M41">
        <f>HOUR(Cleaned_Data[[#This Row],[submission_time]])</f>
        <v>20</v>
      </c>
    </row>
    <row r="42" spans="1:13" x14ac:dyDescent="0.35">
      <c r="A42" t="s">
        <v>107</v>
      </c>
      <c r="B42" s="3">
        <v>45905</v>
      </c>
      <c r="C42" s="4">
        <v>0.24280092592592592</v>
      </c>
      <c r="D42" s="3">
        <v>45906</v>
      </c>
      <c r="E42" s="4">
        <v>0.95795138888888887</v>
      </c>
      <c r="F42" t="s">
        <v>45</v>
      </c>
      <c r="G42" t="s">
        <v>9</v>
      </c>
      <c r="H42" t="s">
        <v>108</v>
      </c>
      <c r="I42" t="s">
        <v>16</v>
      </c>
      <c r="J42">
        <f t="shared" si="1"/>
        <v>24</v>
      </c>
      <c r="K42" t="str">
        <f>TEXT(Cleaned_Data[[#This Row],[submission_date]],"ddd")</f>
        <v>Fri</v>
      </c>
      <c r="L42" t="str">
        <f>TEXT(Cleaned_Data[[#This Row],[submission_date]],"MMM")</f>
        <v>Sep</v>
      </c>
      <c r="M42">
        <f>HOUR(Cleaned_Data[[#This Row],[submission_time]])</f>
        <v>5</v>
      </c>
    </row>
    <row r="43" spans="1:13" x14ac:dyDescent="0.35">
      <c r="A43" t="s">
        <v>109</v>
      </c>
      <c r="B43" s="3">
        <v>45913</v>
      </c>
      <c r="C43" s="4">
        <v>0.76839120370370373</v>
      </c>
      <c r="D43" s="3">
        <v>45914</v>
      </c>
      <c r="E43" s="4">
        <v>0.80738425925925927</v>
      </c>
      <c r="F43" t="s">
        <v>21</v>
      </c>
      <c r="G43" t="s">
        <v>14</v>
      </c>
      <c r="H43" t="s">
        <v>110</v>
      </c>
      <c r="I43" t="s">
        <v>29</v>
      </c>
      <c r="J43">
        <f t="shared" si="1"/>
        <v>24</v>
      </c>
      <c r="K43" t="str">
        <f>TEXT(Cleaned_Data[[#This Row],[submission_date]],"ddd")</f>
        <v>Sat</v>
      </c>
      <c r="L43" t="str">
        <f>TEXT(Cleaned_Data[[#This Row],[submission_date]],"MMM")</f>
        <v>Sep</v>
      </c>
      <c r="M43">
        <f>HOUR(Cleaned_Data[[#This Row],[submission_time]])</f>
        <v>18</v>
      </c>
    </row>
    <row r="44" spans="1:13" x14ac:dyDescent="0.35">
      <c r="A44" t="s">
        <v>111</v>
      </c>
      <c r="B44" s="3">
        <v>45866</v>
      </c>
      <c r="C44" s="4">
        <v>2.943287037037037E-2</v>
      </c>
      <c r="D44" s="3">
        <v>45872</v>
      </c>
      <c r="E44" s="4">
        <v>0.45863425925925927</v>
      </c>
      <c r="F44" t="s">
        <v>81</v>
      </c>
      <c r="G44" t="s">
        <v>55</v>
      </c>
      <c r="H44" t="s">
        <v>112</v>
      </c>
      <c r="I44" t="s">
        <v>29</v>
      </c>
      <c r="J44">
        <f t="shared" si="1"/>
        <v>144</v>
      </c>
      <c r="K44" t="str">
        <f>TEXT(Cleaned_Data[[#This Row],[submission_date]],"ddd")</f>
        <v>Mon</v>
      </c>
      <c r="L44" t="str">
        <f>TEXT(Cleaned_Data[[#This Row],[submission_date]],"MMM")</f>
        <v>Jul</v>
      </c>
      <c r="M44">
        <f>HOUR(Cleaned_Data[[#This Row],[submission_time]])</f>
        <v>0</v>
      </c>
    </row>
    <row r="45" spans="1:13" x14ac:dyDescent="0.35">
      <c r="A45" t="s">
        <v>113</v>
      </c>
      <c r="B45" s="3">
        <v>45868</v>
      </c>
      <c r="C45" s="4">
        <v>0.90106481481481482</v>
      </c>
      <c r="D45" s="3">
        <v>45868</v>
      </c>
      <c r="E45" s="4">
        <v>0.96509259259259261</v>
      </c>
      <c r="F45" t="s">
        <v>13</v>
      </c>
      <c r="G45" t="s">
        <v>35</v>
      </c>
      <c r="H45" t="s">
        <v>114</v>
      </c>
      <c r="I45" t="s">
        <v>115</v>
      </c>
      <c r="J45">
        <f t="shared" si="1"/>
        <v>0</v>
      </c>
      <c r="K45" t="str">
        <f>TEXT(Cleaned_Data[[#This Row],[submission_date]],"ddd")</f>
        <v>Wed</v>
      </c>
      <c r="L45" t="str">
        <f>TEXT(Cleaned_Data[[#This Row],[submission_date]],"MMM")</f>
        <v>Jul</v>
      </c>
      <c r="M45">
        <f>HOUR(Cleaned_Data[[#This Row],[submission_time]])</f>
        <v>21</v>
      </c>
    </row>
    <row r="46" spans="1:13" x14ac:dyDescent="0.35">
      <c r="A46" t="s">
        <v>116</v>
      </c>
      <c r="B46" s="3">
        <v>45872</v>
      </c>
      <c r="C46" s="4">
        <v>0.12675925925925927</v>
      </c>
      <c r="D46" s="3">
        <v>45872</v>
      </c>
      <c r="E46" s="4">
        <v>0.29888888888888887</v>
      </c>
      <c r="F46" t="s">
        <v>21</v>
      </c>
      <c r="G46" t="s">
        <v>32</v>
      </c>
      <c r="H46" t="s">
        <v>117</v>
      </c>
      <c r="I46" t="s">
        <v>11</v>
      </c>
      <c r="J46">
        <f t="shared" si="1"/>
        <v>0</v>
      </c>
      <c r="K46" t="str">
        <f>TEXT(Cleaned_Data[[#This Row],[submission_date]],"ddd")</f>
        <v>Sun</v>
      </c>
      <c r="L46" t="str">
        <f>TEXT(Cleaned_Data[[#This Row],[submission_date]],"MMM")</f>
        <v>Aug</v>
      </c>
      <c r="M46">
        <f>HOUR(Cleaned_Data[[#This Row],[submission_time]])</f>
        <v>3</v>
      </c>
    </row>
    <row r="47" spans="1:13" x14ac:dyDescent="0.35">
      <c r="A47" t="s">
        <v>118</v>
      </c>
      <c r="B47" s="3">
        <v>45843</v>
      </c>
      <c r="C47" s="4">
        <v>0.40408564814814812</v>
      </c>
      <c r="D47" s="3">
        <v>45843</v>
      </c>
      <c r="E47" s="4">
        <v>0.87843749999999998</v>
      </c>
      <c r="F47" t="s">
        <v>13</v>
      </c>
      <c r="G47" t="s">
        <v>14</v>
      </c>
      <c r="H47" t="s">
        <v>119</v>
      </c>
      <c r="I47" t="s">
        <v>11</v>
      </c>
      <c r="J47">
        <f t="shared" si="1"/>
        <v>0</v>
      </c>
      <c r="K47" t="str">
        <f>TEXT(Cleaned_Data[[#This Row],[submission_date]],"ddd")</f>
        <v>Sat</v>
      </c>
      <c r="L47" t="str">
        <f>TEXT(Cleaned_Data[[#This Row],[submission_date]],"MMM")</f>
        <v>Jul</v>
      </c>
      <c r="M47">
        <f>HOUR(Cleaned_Data[[#This Row],[submission_time]])</f>
        <v>9</v>
      </c>
    </row>
    <row r="48" spans="1:13" x14ac:dyDescent="0.35">
      <c r="A48" t="s">
        <v>120</v>
      </c>
      <c r="B48" s="3">
        <v>45899</v>
      </c>
      <c r="C48" s="4">
        <v>0.57158564814814816</v>
      </c>
      <c r="D48" s="3">
        <v>45901</v>
      </c>
      <c r="E48" s="4">
        <v>0.48747685185185186</v>
      </c>
      <c r="F48" t="s">
        <v>45</v>
      </c>
      <c r="G48" t="s">
        <v>25</v>
      </c>
      <c r="H48" t="s">
        <v>121</v>
      </c>
      <c r="I48" t="s">
        <v>16</v>
      </c>
      <c r="J48">
        <f t="shared" si="1"/>
        <v>48</v>
      </c>
      <c r="K48" t="str">
        <f>TEXT(Cleaned_Data[[#This Row],[submission_date]],"ddd")</f>
        <v>Sat</v>
      </c>
      <c r="L48" t="str">
        <f>TEXT(Cleaned_Data[[#This Row],[submission_date]],"MMM")</f>
        <v>Aug</v>
      </c>
      <c r="M48">
        <f>HOUR(Cleaned_Data[[#This Row],[submission_time]])</f>
        <v>13</v>
      </c>
    </row>
    <row r="49" spans="1:13" x14ac:dyDescent="0.35">
      <c r="A49" t="s">
        <v>122</v>
      </c>
      <c r="B49" s="3">
        <v>45830</v>
      </c>
      <c r="C49" s="4">
        <v>0.64143518518518516</v>
      </c>
      <c r="D49" s="3">
        <v>45835</v>
      </c>
      <c r="E49" s="4">
        <v>0.53980324074074071</v>
      </c>
      <c r="F49" t="s">
        <v>31</v>
      </c>
      <c r="G49" t="s">
        <v>14</v>
      </c>
      <c r="H49" t="s">
        <v>123</v>
      </c>
      <c r="I49" t="s">
        <v>29</v>
      </c>
      <c r="J49">
        <f t="shared" si="1"/>
        <v>120</v>
      </c>
      <c r="K49" t="str">
        <f>TEXT(Cleaned_Data[[#This Row],[submission_date]],"ddd")</f>
        <v>Sun</v>
      </c>
      <c r="L49" t="str">
        <f>TEXT(Cleaned_Data[[#This Row],[submission_date]],"MMM")</f>
        <v>Jun</v>
      </c>
      <c r="M49">
        <f>HOUR(Cleaned_Data[[#This Row],[submission_time]])</f>
        <v>15</v>
      </c>
    </row>
    <row r="50" spans="1:13" x14ac:dyDescent="0.35">
      <c r="A50" t="s">
        <v>124</v>
      </c>
      <c r="B50" s="3">
        <v>45841</v>
      </c>
      <c r="C50" s="4">
        <v>0.13383101851851853</v>
      </c>
      <c r="D50" s="3">
        <v>45841</v>
      </c>
      <c r="E50" s="4">
        <v>0.65270833333333333</v>
      </c>
      <c r="F50" t="s">
        <v>45</v>
      </c>
      <c r="G50" t="s">
        <v>14</v>
      </c>
      <c r="H50" t="s">
        <v>125</v>
      </c>
      <c r="I50" t="s">
        <v>16</v>
      </c>
      <c r="J50">
        <f t="shared" si="1"/>
        <v>0</v>
      </c>
      <c r="K50" t="str">
        <f>TEXT(Cleaned_Data[[#This Row],[submission_date]],"ddd")</f>
        <v>Thu</v>
      </c>
      <c r="L50" t="str">
        <f>TEXT(Cleaned_Data[[#This Row],[submission_date]],"MMM")</f>
        <v>Jul</v>
      </c>
      <c r="M50">
        <f>HOUR(Cleaned_Data[[#This Row],[submission_time]])</f>
        <v>3</v>
      </c>
    </row>
    <row r="51" spans="1:13" x14ac:dyDescent="0.35">
      <c r="A51" t="s">
        <v>126</v>
      </c>
      <c r="B51" s="3">
        <v>45878</v>
      </c>
      <c r="C51" s="4">
        <v>0.74396990740740743</v>
      </c>
      <c r="D51" s="3">
        <v>45879</v>
      </c>
      <c r="E51" s="4">
        <v>0.85607638888888893</v>
      </c>
      <c r="F51" t="s">
        <v>45</v>
      </c>
      <c r="G51" t="s">
        <v>14</v>
      </c>
      <c r="H51" t="s">
        <v>127</v>
      </c>
      <c r="I51" t="s">
        <v>16</v>
      </c>
      <c r="J51">
        <f t="shared" si="1"/>
        <v>24</v>
      </c>
      <c r="K51" t="str">
        <f>TEXT(Cleaned_Data[[#This Row],[submission_date]],"ddd")</f>
        <v>Sat</v>
      </c>
      <c r="L51" t="str">
        <f>TEXT(Cleaned_Data[[#This Row],[submission_date]],"MMM")</f>
        <v>Aug</v>
      </c>
      <c r="M51">
        <f>HOUR(Cleaned_Data[[#This Row],[submission_time]])</f>
        <v>17</v>
      </c>
    </row>
    <row r="52" spans="1:13" x14ac:dyDescent="0.35">
      <c r="A52" t="s">
        <v>128</v>
      </c>
      <c r="B52" s="3">
        <v>45861</v>
      </c>
      <c r="C52" s="4">
        <v>0.34909722222222223</v>
      </c>
      <c r="D52" s="3">
        <v>45865</v>
      </c>
      <c r="E52" s="4">
        <v>0.9651967592592593</v>
      </c>
      <c r="F52" t="s">
        <v>8</v>
      </c>
      <c r="G52" t="s">
        <v>22</v>
      </c>
      <c r="H52" t="s">
        <v>129</v>
      </c>
      <c r="I52" t="s">
        <v>29</v>
      </c>
      <c r="J52">
        <f t="shared" si="1"/>
        <v>96</v>
      </c>
      <c r="K52" t="str">
        <f>TEXT(Cleaned_Data[[#This Row],[submission_date]],"ddd")</f>
        <v>Wed</v>
      </c>
      <c r="L52" t="str">
        <f>TEXT(Cleaned_Data[[#This Row],[submission_date]],"MMM")</f>
        <v>Jul</v>
      </c>
      <c r="M52">
        <f>HOUR(Cleaned_Data[[#This Row],[submission_time]])</f>
        <v>8</v>
      </c>
    </row>
    <row r="53" spans="1:13" x14ac:dyDescent="0.35">
      <c r="A53" t="s">
        <v>130</v>
      </c>
      <c r="B53" s="3">
        <v>45869</v>
      </c>
      <c r="C53" s="4">
        <v>0.82758101851851851</v>
      </c>
      <c r="D53" s="3">
        <v>45876</v>
      </c>
      <c r="E53" s="4">
        <v>5.9085648148148151E-2</v>
      </c>
      <c r="F53" t="s">
        <v>13</v>
      </c>
      <c r="G53" t="s">
        <v>14</v>
      </c>
      <c r="H53" t="s">
        <v>131</v>
      </c>
      <c r="I53" t="s">
        <v>29</v>
      </c>
      <c r="J53">
        <f t="shared" si="1"/>
        <v>168</v>
      </c>
      <c r="K53" t="str">
        <f>TEXT(Cleaned_Data[[#This Row],[submission_date]],"ddd")</f>
        <v>Thu</v>
      </c>
      <c r="L53" t="str">
        <f>TEXT(Cleaned_Data[[#This Row],[submission_date]],"MMM")</f>
        <v>Jul</v>
      </c>
      <c r="M53">
        <f>HOUR(Cleaned_Data[[#This Row],[submission_time]])</f>
        <v>19</v>
      </c>
    </row>
    <row r="54" spans="1:13" x14ac:dyDescent="0.35">
      <c r="A54" t="s">
        <v>132</v>
      </c>
      <c r="B54" s="3">
        <v>45837</v>
      </c>
      <c r="C54" s="4">
        <v>9.8483796296296292E-2</v>
      </c>
      <c r="D54" s="3">
        <v>45837</v>
      </c>
      <c r="E54" s="4">
        <v>0.72760416666666672</v>
      </c>
      <c r="F54" t="s">
        <v>13</v>
      </c>
      <c r="G54" t="s">
        <v>22</v>
      </c>
      <c r="H54" t="s">
        <v>133</v>
      </c>
      <c r="I54" t="s">
        <v>16</v>
      </c>
      <c r="J54">
        <f t="shared" si="1"/>
        <v>0</v>
      </c>
      <c r="K54" t="str">
        <f>TEXT(Cleaned_Data[[#This Row],[submission_date]],"ddd")</f>
        <v>Sun</v>
      </c>
      <c r="L54" t="str">
        <f>TEXT(Cleaned_Data[[#This Row],[submission_date]],"MMM")</f>
        <v>Jun</v>
      </c>
      <c r="M54">
        <f>HOUR(Cleaned_Data[[#This Row],[submission_time]])</f>
        <v>2</v>
      </c>
    </row>
    <row r="55" spans="1:13" x14ac:dyDescent="0.35">
      <c r="A55" t="s">
        <v>134</v>
      </c>
      <c r="B55" s="3">
        <v>45884</v>
      </c>
      <c r="C55" s="4">
        <v>0.86236111111111113</v>
      </c>
      <c r="D55" s="3">
        <v>45885</v>
      </c>
      <c r="E55" s="4">
        <v>0.41224537037037035</v>
      </c>
      <c r="F55" t="s">
        <v>13</v>
      </c>
      <c r="G55" t="s">
        <v>14</v>
      </c>
      <c r="H55" t="s">
        <v>135</v>
      </c>
      <c r="I55" t="s">
        <v>16</v>
      </c>
      <c r="J55">
        <f t="shared" si="1"/>
        <v>24</v>
      </c>
      <c r="K55" t="str">
        <f>TEXT(Cleaned_Data[[#This Row],[submission_date]],"ddd")</f>
        <v>Fri</v>
      </c>
      <c r="L55" t="str">
        <f>TEXT(Cleaned_Data[[#This Row],[submission_date]],"MMM")</f>
        <v>Aug</v>
      </c>
      <c r="M55">
        <f>HOUR(Cleaned_Data[[#This Row],[submission_time]])</f>
        <v>20</v>
      </c>
    </row>
    <row r="56" spans="1:13" x14ac:dyDescent="0.35">
      <c r="A56" t="s">
        <v>136</v>
      </c>
      <c r="B56" s="3">
        <v>45853</v>
      </c>
      <c r="C56" s="4">
        <v>0.37506944444444446</v>
      </c>
      <c r="D56" s="3">
        <v>45853</v>
      </c>
      <c r="E56" s="4">
        <v>0.79385416666666664</v>
      </c>
      <c r="F56" t="s">
        <v>45</v>
      </c>
      <c r="G56" t="s">
        <v>18</v>
      </c>
      <c r="H56" t="s">
        <v>137</v>
      </c>
      <c r="I56" t="s">
        <v>11</v>
      </c>
      <c r="J56">
        <f t="shared" si="1"/>
        <v>0</v>
      </c>
      <c r="K56" t="str">
        <f>TEXT(Cleaned_Data[[#This Row],[submission_date]],"ddd")</f>
        <v>Tue</v>
      </c>
      <c r="L56" t="str">
        <f>TEXT(Cleaned_Data[[#This Row],[submission_date]],"MMM")</f>
        <v>Jul</v>
      </c>
      <c r="M56">
        <f>HOUR(Cleaned_Data[[#This Row],[submission_time]])</f>
        <v>9</v>
      </c>
    </row>
    <row r="57" spans="1:13" x14ac:dyDescent="0.35">
      <c r="A57" t="s">
        <v>138</v>
      </c>
      <c r="B57" s="3">
        <v>45829</v>
      </c>
      <c r="C57" s="4">
        <v>4.6388888888888889E-2</v>
      </c>
      <c r="D57" s="3">
        <v>45830</v>
      </c>
      <c r="E57" s="4">
        <v>0.74152777777777779</v>
      </c>
      <c r="F57" t="s">
        <v>31</v>
      </c>
      <c r="G57" t="s">
        <v>14</v>
      </c>
      <c r="H57" t="s">
        <v>139</v>
      </c>
      <c r="I57" t="s">
        <v>16</v>
      </c>
      <c r="J57">
        <f t="shared" si="1"/>
        <v>24</v>
      </c>
      <c r="K57" t="str">
        <f>TEXT(Cleaned_Data[[#This Row],[submission_date]],"ddd")</f>
        <v>Sat</v>
      </c>
      <c r="L57" t="str">
        <f>TEXT(Cleaned_Data[[#This Row],[submission_date]],"MMM")</f>
        <v>Jun</v>
      </c>
      <c r="M57">
        <f>HOUR(Cleaned_Data[[#This Row],[submission_time]])</f>
        <v>1</v>
      </c>
    </row>
    <row r="58" spans="1:13" x14ac:dyDescent="0.35">
      <c r="A58" t="s">
        <v>140</v>
      </c>
      <c r="B58" s="3">
        <v>45871</v>
      </c>
      <c r="C58" s="4">
        <v>0.32791666666666669</v>
      </c>
      <c r="D58" s="3">
        <v>45872</v>
      </c>
      <c r="E58" s="4">
        <v>0.60315972222222225</v>
      </c>
      <c r="F58" t="s">
        <v>8</v>
      </c>
      <c r="G58" t="s">
        <v>22</v>
      </c>
      <c r="H58" t="s">
        <v>141</v>
      </c>
      <c r="I58" t="s">
        <v>16</v>
      </c>
      <c r="J58">
        <f t="shared" si="1"/>
        <v>24</v>
      </c>
      <c r="K58" t="str">
        <f>TEXT(Cleaned_Data[[#This Row],[submission_date]],"ddd")</f>
        <v>Sat</v>
      </c>
      <c r="L58" t="str">
        <f>TEXT(Cleaned_Data[[#This Row],[submission_date]],"MMM")</f>
        <v>Aug</v>
      </c>
      <c r="M58">
        <f>HOUR(Cleaned_Data[[#This Row],[submission_time]])</f>
        <v>7</v>
      </c>
    </row>
    <row r="59" spans="1:13" x14ac:dyDescent="0.35">
      <c r="A59" t="s">
        <v>142</v>
      </c>
      <c r="B59" s="3">
        <v>45860</v>
      </c>
      <c r="C59" s="4">
        <v>0.35386574074074073</v>
      </c>
      <c r="D59" s="3">
        <v>45867</v>
      </c>
      <c r="E59" s="4">
        <v>0.28399305555555554</v>
      </c>
      <c r="F59" t="s">
        <v>60</v>
      </c>
      <c r="G59" t="s">
        <v>35</v>
      </c>
      <c r="H59" t="s">
        <v>143</v>
      </c>
      <c r="I59" t="s">
        <v>29</v>
      </c>
      <c r="J59">
        <f t="shared" si="1"/>
        <v>168</v>
      </c>
      <c r="K59" t="str">
        <f>TEXT(Cleaned_Data[[#This Row],[submission_date]],"ddd")</f>
        <v>Tue</v>
      </c>
      <c r="L59" t="str">
        <f>TEXT(Cleaned_Data[[#This Row],[submission_date]],"MMM")</f>
        <v>Jul</v>
      </c>
      <c r="M59">
        <f>HOUR(Cleaned_Data[[#This Row],[submission_time]])</f>
        <v>8</v>
      </c>
    </row>
    <row r="60" spans="1:13" x14ac:dyDescent="0.35">
      <c r="A60" t="s">
        <v>144</v>
      </c>
      <c r="B60" s="3">
        <v>45875</v>
      </c>
      <c r="C60" s="4">
        <v>0.57141203703703702</v>
      </c>
      <c r="D60" s="3">
        <v>45877</v>
      </c>
      <c r="E60" s="4">
        <v>0.30320601851851853</v>
      </c>
      <c r="F60" t="s">
        <v>8</v>
      </c>
      <c r="G60" t="s">
        <v>35</v>
      </c>
      <c r="H60" t="s">
        <v>145</v>
      </c>
      <c r="I60" t="s">
        <v>16</v>
      </c>
      <c r="J60">
        <f t="shared" si="1"/>
        <v>48</v>
      </c>
      <c r="K60" t="str">
        <f>TEXT(Cleaned_Data[[#This Row],[submission_date]],"ddd")</f>
        <v>Wed</v>
      </c>
      <c r="L60" t="str">
        <f>TEXT(Cleaned_Data[[#This Row],[submission_date]],"MMM")</f>
        <v>Aug</v>
      </c>
      <c r="M60">
        <f>HOUR(Cleaned_Data[[#This Row],[submission_time]])</f>
        <v>13</v>
      </c>
    </row>
    <row r="61" spans="1:13" x14ac:dyDescent="0.35">
      <c r="A61" t="s">
        <v>146</v>
      </c>
      <c r="B61" s="3">
        <v>45827</v>
      </c>
      <c r="C61" s="4">
        <v>0.27619212962962963</v>
      </c>
      <c r="D61" s="3">
        <v>45828</v>
      </c>
      <c r="E61" s="4">
        <v>0.59581018518518514</v>
      </c>
      <c r="F61" t="s">
        <v>13</v>
      </c>
      <c r="G61" t="s">
        <v>32</v>
      </c>
      <c r="H61" t="s">
        <v>147</v>
      </c>
      <c r="I61" t="s">
        <v>16</v>
      </c>
      <c r="J61">
        <f t="shared" si="1"/>
        <v>24</v>
      </c>
      <c r="K61" t="str">
        <f>TEXT(Cleaned_Data[[#This Row],[submission_date]],"ddd")</f>
        <v>Thu</v>
      </c>
      <c r="L61" t="str">
        <f>TEXT(Cleaned_Data[[#This Row],[submission_date]],"MMM")</f>
        <v>Jun</v>
      </c>
      <c r="M61">
        <f>HOUR(Cleaned_Data[[#This Row],[submission_time]])</f>
        <v>6</v>
      </c>
    </row>
    <row r="62" spans="1:13" x14ac:dyDescent="0.35">
      <c r="A62" t="s">
        <v>148</v>
      </c>
      <c r="B62" s="3">
        <v>45896</v>
      </c>
      <c r="C62" s="4">
        <v>0.4622337962962963</v>
      </c>
      <c r="D62" s="3">
        <v>45897</v>
      </c>
      <c r="E62" s="4">
        <v>0.4929398148148148</v>
      </c>
      <c r="F62" t="s">
        <v>21</v>
      </c>
      <c r="G62" t="s">
        <v>22</v>
      </c>
      <c r="H62" t="s">
        <v>149</v>
      </c>
      <c r="I62" t="s">
        <v>16</v>
      </c>
      <c r="J62">
        <f t="shared" si="1"/>
        <v>24</v>
      </c>
      <c r="K62" t="str">
        <f>TEXT(Cleaned_Data[[#This Row],[submission_date]],"ddd")</f>
        <v>Wed</v>
      </c>
      <c r="L62" t="str">
        <f>TEXT(Cleaned_Data[[#This Row],[submission_date]],"MMM")</f>
        <v>Aug</v>
      </c>
      <c r="M62">
        <f>HOUR(Cleaned_Data[[#This Row],[submission_time]])</f>
        <v>11</v>
      </c>
    </row>
    <row r="63" spans="1:13" x14ac:dyDescent="0.35">
      <c r="A63" t="s">
        <v>150</v>
      </c>
      <c r="B63" s="3">
        <v>45910</v>
      </c>
      <c r="C63" s="4">
        <v>0.84696759259259258</v>
      </c>
      <c r="D63" s="3">
        <v>45912</v>
      </c>
      <c r="E63" s="4">
        <v>0.41908564814814814</v>
      </c>
      <c r="F63" t="s">
        <v>13</v>
      </c>
      <c r="G63" t="s">
        <v>9</v>
      </c>
      <c r="H63" t="s">
        <v>151</v>
      </c>
      <c r="I63" t="s">
        <v>16</v>
      </c>
      <c r="J63">
        <f t="shared" si="1"/>
        <v>48</v>
      </c>
      <c r="K63" t="str">
        <f>TEXT(Cleaned_Data[[#This Row],[submission_date]],"ddd")</f>
        <v>Wed</v>
      </c>
      <c r="L63" t="str">
        <f>TEXT(Cleaned_Data[[#This Row],[submission_date]],"MMM")</f>
        <v>Sep</v>
      </c>
      <c r="M63">
        <f>HOUR(Cleaned_Data[[#This Row],[submission_time]])</f>
        <v>20</v>
      </c>
    </row>
    <row r="64" spans="1:13" x14ac:dyDescent="0.35">
      <c r="A64" t="s">
        <v>152</v>
      </c>
      <c r="B64" s="3">
        <v>45839</v>
      </c>
      <c r="C64" s="4">
        <v>0.69421296296296298</v>
      </c>
      <c r="D64" s="3">
        <v>45840</v>
      </c>
      <c r="E64" s="4">
        <v>0.6817361111111111</v>
      </c>
      <c r="F64" t="s">
        <v>13</v>
      </c>
      <c r="G64" t="s">
        <v>42</v>
      </c>
      <c r="H64" t="s">
        <v>153</v>
      </c>
      <c r="I64" t="s">
        <v>16</v>
      </c>
      <c r="J64">
        <f t="shared" si="1"/>
        <v>24</v>
      </c>
      <c r="K64" t="str">
        <f>TEXT(Cleaned_Data[[#This Row],[submission_date]],"ddd")</f>
        <v>Tue</v>
      </c>
      <c r="L64" t="str">
        <f>TEXT(Cleaned_Data[[#This Row],[submission_date]],"MMM")</f>
        <v>Jul</v>
      </c>
      <c r="M64">
        <f>HOUR(Cleaned_Data[[#This Row],[submission_time]])</f>
        <v>16</v>
      </c>
    </row>
    <row r="65" spans="1:13" x14ac:dyDescent="0.35">
      <c r="A65" t="s">
        <v>154</v>
      </c>
      <c r="B65" s="3">
        <v>45871</v>
      </c>
      <c r="C65" s="4">
        <v>0.33134259259259258</v>
      </c>
      <c r="D65" s="3">
        <v>45871</v>
      </c>
      <c r="E65" s="4">
        <v>0.66361111111111115</v>
      </c>
      <c r="F65" t="s">
        <v>31</v>
      </c>
      <c r="G65" t="s">
        <v>42</v>
      </c>
      <c r="H65" t="s">
        <v>155</v>
      </c>
      <c r="I65" t="s">
        <v>11</v>
      </c>
      <c r="J65">
        <f t="shared" si="1"/>
        <v>0</v>
      </c>
      <c r="K65" t="str">
        <f>TEXT(Cleaned_Data[[#This Row],[submission_date]],"ddd")</f>
        <v>Sat</v>
      </c>
      <c r="L65" t="str">
        <f>TEXT(Cleaned_Data[[#This Row],[submission_date]],"MMM")</f>
        <v>Aug</v>
      </c>
      <c r="M65">
        <f>HOUR(Cleaned_Data[[#This Row],[submission_time]])</f>
        <v>7</v>
      </c>
    </row>
    <row r="66" spans="1:13" x14ac:dyDescent="0.35">
      <c r="A66" t="s">
        <v>156</v>
      </c>
      <c r="B66" s="3">
        <v>45910</v>
      </c>
      <c r="C66" s="4">
        <v>0.24875</v>
      </c>
      <c r="D66" s="3">
        <v>45910</v>
      </c>
      <c r="E66" s="4">
        <v>0.58466435185185184</v>
      </c>
      <c r="F66" t="s">
        <v>31</v>
      </c>
      <c r="G66" t="s">
        <v>25</v>
      </c>
      <c r="H66" t="s">
        <v>157</v>
      </c>
      <c r="I66" t="s">
        <v>16</v>
      </c>
      <c r="J66">
        <f t="shared" ref="J66:J97" si="2">(D66-B66)*24</f>
        <v>0</v>
      </c>
      <c r="K66" t="str">
        <f>TEXT(Cleaned_Data[[#This Row],[submission_date]],"ddd")</f>
        <v>Wed</v>
      </c>
      <c r="L66" t="str">
        <f>TEXT(Cleaned_Data[[#This Row],[submission_date]],"MMM")</f>
        <v>Sep</v>
      </c>
      <c r="M66">
        <f>HOUR(Cleaned_Data[[#This Row],[submission_time]])</f>
        <v>5</v>
      </c>
    </row>
    <row r="67" spans="1:13" x14ac:dyDescent="0.35">
      <c r="A67" t="s">
        <v>158</v>
      </c>
      <c r="B67" s="3">
        <v>45886</v>
      </c>
      <c r="C67" s="4">
        <v>0.79947916666666663</v>
      </c>
      <c r="D67" s="3">
        <v>45887</v>
      </c>
      <c r="E67" s="4">
        <v>0.4136111111111111</v>
      </c>
      <c r="F67" t="s">
        <v>45</v>
      </c>
      <c r="G67" t="s">
        <v>9</v>
      </c>
      <c r="H67" t="s">
        <v>159</v>
      </c>
      <c r="I67" t="s">
        <v>16</v>
      </c>
      <c r="J67">
        <f t="shared" si="2"/>
        <v>24</v>
      </c>
      <c r="K67" t="str">
        <f>TEXT(Cleaned_Data[[#This Row],[submission_date]],"ddd")</f>
        <v>Sun</v>
      </c>
      <c r="L67" t="str">
        <f>TEXT(Cleaned_Data[[#This Row],[submission_date]],"MMM")</f>
        <v>Aug</v>
      </c>
      <c r="M67">
        <f>HOUR(Cleaned_Data[[#This Row],[submission_time]])</f>
        <v>19</v>
      </c>
    </row>
    <row r="68" spans="1:13" x14ac:dyDescent="0.35">
      <c r="A68" t="s">
        <v>160</v>
      </c>
      <c r="B68" s="3">
        <v>45856</v>
      </c>
      <c r="C68" s="4">
        <v>0.26524305555555555</v>
      </c>
      <c r="D68" s="3">
        <v>45861</v>
      </c>
      <c r="E68" s="4">
        <v>0.83712962962962967</v>
      </c>
      <c r="F68" t="s">
        <v>21</v>
      </c>
      <c r="G68" t="s">
        <v>18</v>
      </c>
      <c r="H68" t="s">
        <v>161</v>
      </c>
      <c r="I68" t="s">
        <v>29</v>
      </c>
      <c r="J68">
        <f t="shared" si="2"/>
        <v>120</v>
      </c>
      <c r="K68" t="str">
        <f>TEXT(Cleaned_Data[[#This Row],[submission_date]],"ddd")</f>
        <v>Fri</v>
      </c>
      <c r="L68" t="str">
        <f>TEXT(Cleaned_Data[[#This Row],[submission_date]],"MMM")</f>
        <v>Jul</v>
      </c>
      <c r="M68">
        <f>HOUR(Cleaned_Data[[#This Row],[submission_time]])</f>
        <v>6</v>
      </c>
    </row>
    <row r="69" spans="1:13" x14ac:dyDescent="0.35">
      <c r="A69" t="s">
        <v>162</v>
      </c>
      <c r="B69" s="3">
        <v>45844</v>
      </c>
      <c r="C69" s="4">
        <v>9.6041666666666664E-2</v>
      </c>
      <c r="D69" s="3">
        <v>45845</v>
      </c>
      <c r="E69" s="4">
        <v>0.54374999999999996</v>
      </c>
      <c r="F69" t="s">
        <v>45</v>
      </c>
      <c r="G69" t="s">
        <v>42</v>
      </c>
      <c r="H69" t="s">
        <v>163</v>
      </c>
      <c r="I69" t="s">
        <v>16</v>
      </c>
      <c r="J69">
        <f t="shared" si="2"/>
        <v>24</v>
      </c>
      <c r="K69" t="str">
        <f>TEXT(Cleaned_Data[[#This Row],[submission_date]],"ddd")</f>
        <v>Sun</v>
      </c>
      <c r="L69" t="str">
        <f>TEXT(Cleaned_Data[[#This Row],[submission_date]],"MMM")</f>
        <v>Jul</v>
      </c>
      <c r="M69">
        <f>HOUR(Cleaned_Data[[#This Row],[submission_time]])</f>
        <v>2</v>
      </c>
    </row>
    <row r="70" spans="1:13" x14ac:dyDescent="0.35">
      <c r="A70" t="s">
        <v>164</v>
      </c>
      <c r="B70" s="3">
        <v>45894</v>
      </c>
      <c r="C70" s="4">
        <v>0.94917824074074075</v>
      </c>
      <c r="D70" s="3">
        <v>45898</v>
      </c>
      <c r="E70" s="4">
        <v>0.22012731481481482</v>
      </c>
      <c r="F70" t="s">
        <v>13</v>
      </c>
      <c r="G70" t="s">
        <v>32</v>
      </c>
      <c r="H70" t="s">
        <v>165</v>
      </c>
      <c r="I70" t="s">
        <v>29</v>
      </c>
      <c r="J70">
        <f t="shared" si="2"/>
        <v>96</v>
      </c>
      <c r="K70" t="str">
        <f>TEXT(Cleaned_Data[[#This Row],[submission_date]],"ddd")</f>
        <v>Mon</v>
      </c>
      <c r="L70" t="str">
        <f>TEXT(Cleaned_Data[[#This Row],[submission_date]],"MMM")</f>
        <v>Aug</v>
      </c>
      <c r="M70">
        <f>HOUR(Cleaned_Data[[#This Row],[submission_time]])</f>
        <v>22</v>
      </c>
    </row>
    <row r="71" spans="1:13" x14ac:dyDescent="0.35">
      <c r="A71" t="s">
        <v>166</v>
      </c>
      <c r="B71" s="3">
        <v>45907</v>
      </c>
      <c r="C71" s="4">
        <v>2.1168981481481483E-2</v>
      </c>
      <c r="D71" s="3">
        <v>45908</v>
      </c>
      <c r="E71" s="4">
        <v>2.5706018518518517E-2</v>
      </c>
      <c r="F71" t="s">
        <v>13</v>
      </c>
      <c r="G71" t="s">
        <v>25</v>
      </c>
      <c r="H71" t="s">
        <v>167</v>
      </c>
      <c r="I71" t="s">
        <v>16</v>
      </c>
      <c r="J71">
        <f t="shared" si="2"/>
        <v>24</v>
      </c>
      <c r="K71" t="str">
        <f>TEXT(Cleaned_Data[[#This Row],[submission_date]],"ddd")</f>
        <v>Sun</v>
      </c>
      <c r="L71" t="str">
        <f>TEXT(Cleaned_Data[[#This Row],[submission_date]],"MMM")</f>
        <v>Sep</v>
      </c>
      <c r="M71">
        <f>HOUR(Cleaned_Data[[#This Row],[submission_time]])</f>
        <v>0</v>
      </c>
    </row>
    <row r="72" spans="1:13" x14ac:dyDescent="0.35">
      <c r="A72" t="s">
        <v>168</v>
      </c>
      <c r="B72" s="3">
        <v>45859</v>
      </c>
      <c r="C72" s="4">
        <v>0.9155092592592593</v>
      </c>
      <c r="D72" s="3">
        <v>45860</v>
      </c>
      <c r="E72" s="4">
        <v>4.957175925925926E-2</v>
      </c>
      <c r="F72" t="s">
        <v>21</v>
      </c>
      <c r="G72" t="s">
        <v>42</v>
      </c>
      <c r="H72" t="s">
        <v>169</v>
      </c>
      <c r="I72" t="s">
        <v>115</v>
      </c>
      <c r="J72">
        <f t="shared" si="2"/>
        <v>24</v>
      </c>
      <c r="K72" t="str">
        <f>TEXT(Cleaned_Data[[#This Row],[submission_date]],"ddd")</f>
        <v>Mon</v>
      </c>
      <c r="L72" t="str">
        <f>TEXT(Cleaned_Data[[#This Row],[submission_date]],"MMM")</f>
        <v>Jul</v>
      </c>
      <c r="M72">
        <f>HOUR(Cleaned_Data[[#This Row],[submission_time]])</f>
        <v>21</v>
      </c>
    </row>
    <row r="73" spans="1:13" x14ac:dyDescent="0.35">
      <c r="A73" t="s">
        <v>170</v>
      </c>
      <c r="B73" s="3">
        <v>45862</v>
      </c>
      <c r="C73" s="4">
        <v>0.53849537037037032</v>
      </c>
      <c r="D73" s="3">
        <v>45863</v>
      </c>
      <c r="E73" s="4">
        <v>0.37390046296296298</v>
      </c>
      <c r="F73" t="s">
        <v>13</v>
      </c>
      <c r="G73" t="s">
        <v>18</v>
      </c>
      <c r="H73" t="s">
        <v>171</v>
      </c>
      <c r="I73" t="s">
        <v>16</v>
      </c>
      <c r="J73">
        <f t="shared" si="2"/>
        <v>24</v>
      </c>
      <c r="K73" t="str">
        <f>TEXT(Cleaned_Data[[#This Row],[submission_date]],"ddd")</f>
        <v>Thu</v>
      </c>
      <c r="L73" t="str">
        <f>TEXT(Cleaned_Data[[#This Row],[submission_date]],"MMM")</f>
        <v>Jul</v>
      </c>
      <c r="M73">
        <f>HOUR(Cleaned_Data[[#This Row],[submission_time]])</f>
        <v>12</v>
      </c>
    </row>
    <row r="74" spans="1:13" x14ac:dyDescent="0.35">
      <c r="A74" t="s">
        <v>172</v>
      </c>
      <c r="B74" s="3">
        <v>45826</v>
      </c>
      <c r="C74" s="4">
        <v>0.32111111111111112</v>
      </c>
      <c r="D74" s="3">
        <v>45827</v>
      </c>
      <c r="E74" s="4">
        <v>0.89758101851851857</v>
      </c>
      <c r="F74" t="s">
        <v>45</v>
      </c>
      <c r="G74" t="s">
        <v>42</v>
      </c>
      <c r="H74" t="s">
        <v>173</v>
      </c>
      <c r="I74" t="s">
        <v>16</v>
      </c>
      <c r="J74">
        <f t="shared" si="2"/>
        <v>24</v>
      </c>
      <c r="K74" t="str">
        <f>TEXT(Cleaned_Data[[#This Row],[submission_date]],"ddd")</f>
        <v>Wed</v>
      </c>
      <c r="L74" t="str">
        <f>TEXT(Cleaned_Data[[#This Row],[submission_date]],"MMM")</f>
        <v>Jun</v>
      </c>
      <c r="M74">
        <f>HOUR(Cleaned_Data[[#This Row],[submission_time]])</f>
        <v>7</v>
      </c>
    </row>
    <row r="75" spans="1:13" x14ac:dyDescent="0.35">
      <c r="A75" t="s">
        <v>174</v>
      </c>
      <c r="B75" s="3">
        <v>45903</v>
      </c>
      <c r="C75" s="4">
        <v>0.1070949074074074</v>
      </c>
      <c r="D75" s="3">
        <v>45903</v>
      </c>
      <c r="E75" s="4">
        <v>0.44500000000000001</v>
      </c>
      <c r="F75" t="s">
        <v>8</v>
      </c>
      <c r="G75" t="s">
        <v>46</v>
      </c>
      <c r="H75" t="s">
        <v>175</v>
      </c>
      <c r="I75" t="s">
        <v>11</v>
      </c>
      <c r="J75">
        <f t="shared" si="2"/>
        <v>0</v>
      </c>
      <c r="K75" t="str">
        <f>TEXT(Cleaned_Data[[#This Row],[submission_date]],"ddd")</f>
        <v>Wed</v>
      </c>
      <c r="L75" t="str">
        <f>TEXT(Cleaned_Data[[#This Row],[submission_date]],"MMM")</f>
        <v>Sep</v>
      </c>
      <c r="M75">
        <f>HOUR(Cleaned_Data[[#This Row],[submission_time]])</f>
        <v>2</v>
      </c>
    </row>
    <row r="76" spans="1:13" x14ac:dyDescent="0.35">
      <c r="A76" t="s">
        <v>176</v>
      </c>
      <c r="B76" s="3">
        <v>45877</v>
      </c>
      <c r="C76" s="4">
        <v>0.97078703703703706</v>
      </c>
      <c r="D76" s="3">
        <v>45883</v>
      </c>
      <c r="E76" s="4">
        <v>0.97206018518518522</v>
      </c>
      <c r="F76" t="s">
        <v>60</v>
      </c>
      <c r="G76" t="s">
        <v>14</v>
      </c>
      <c r="H76" t="s">
        <v>177</v>
      </c>
      <c r="I76" t="s">
        <v>29</v>
      </c>
      <c r="J76">
        <f t="shared" si="2"/>
        <v>144</v>
      </c>
      <c r="K76" t="str">
        <f>TEXT(Cleaned_Data[[#This Row],[submission_date]],"ddd")</f>
        <v>Fri</v>
      </c>
      <c r="L76" t="str">
        <f>TEXT(Cleaned_Data[[#This Row],[submission_date]],"MMM")</f>
        <v>Aug</v>
      </c>
      <c r="M76">
        <f>HOUR(Cleaned_Data[[#This Row],[submission_time]])</f>
        <v>23</v>
      </c>
    </row>
    <row r="77" spans="1:13" x14ac:dyDescent="0.35">
      <c r="A77" t="s">
        <v>178</v>
      </c>
      <c r="B77" s="3">
        <v>45897</v>
      </c>
      <c r="C77" s="4">
        <v>7.5162037037037041E-2</v>
      </c>
      <c r="D77" s="3">
        <v>45897</v>
      </c>
      <c r="E77" s="4">
        <v>0.4034375</v>
      </c>
      <c r="F77" t="s">
        <v>8</v>
      </c>
      <c r="G77" t="s">
        <v>42</v>
      </c>
      <c r="H77" t="s">
        <v>179</v>
      </c>
      <c r="I77" t="s">
        <v>11</v>
      </c>
      <c r="J77">
        <f t="shared" si="2"/>
        <v>0</v>
      </c>
      <c r="K77" t="str">
        <f>TEXT(Cleaned_Data[[#This Row],[submission_date]],"ddd")</f>
        <v>Thu</v>
      </c>
      <c r="L77" t="str">
        <f>TEXT(Cleaned_Data[[#This Row],[submission_date]],"MMM")</f>
        <v>Aug</v>
      </c>
      <c r="M77">
        <f>HOUR(Cleaned_Data[[#This Row],[submission_time]])</f>
        <v>1</v>
      </c>
    </row>
    <row r="78" spans="1:13" x14ac:dyDescent="0.35">
      <c r="A78" t="s">
        <v>180</v>
      </c>
      <c r="B78" s="3">
        <v>45858</v>
      </c>
      <c r="C78" s="4">
        <v>0.43846064814814817</v>
      </c>
      <c r="D78" s="3">
        <v>45858</v>
      </c>
      <c r="E78" s="4">
        <v>0.59111111111111114</v>
      </c>
      <c r="F78" t="s">
        <v>13</v>
      </c>
      <c r="G78" t="s">
        <v>14</v>
      </c>
      <c r="H78" t="s">
        <v>181</v>
      </c>
      <c r="I78" t="s">
        <v>11</v>
      </c>
      <c r="J78">
        <f t="shared" si="2"/>
        <v>0</v>
      </c>
      <c r="K78" t="str">
        <f>TEXT(Cleaned_Data[[#This Row],[submission_date]],"ddd")</f>
        <v>Sun</v>
      </c>
      <c r="L78" t="str">
        <f>TEXT(Cleaned_Data[[#This Row],[submission_date]],"MMM")</f>
        <v>Jul</v>
      </c>
      <c r="M78">
        <f>HOUR(Cleaned_Data[[#This Row],[submission_time]])</f>
        <v>10</v>
      </c>
    </row>
    <row r="79" spans="1:13" x14ac:dyDescent="0.35">
      <c r="A79" t="s">
        <v>182</v>
      </c>
      <c r="B79" s="3">
        <v>45855</v>
      </c>
      <c r="C79" s="4">
        <v>0.65459490740740744</v>
      </c>
      <c r="D79" s="3">
        <v>45855</v>
      </c>
      <c r="E79" s="4">
        <v>0.94465277777777779</v>
      </c>
      <c r="F79" t="s">
        <v>60</v>
      </c>
      <c r="G79" t="s">
        <v>32</v>
      </c>
      <c r="H79" t="s">
        <v>183</v>
      </c>
      <c r="I79" t="s">
        <v>11</v>
      </c>
      <c r="J79">
        <f t="shared" si="2"/>
        <v>0</v>
      </c>
      <c r="K79" t="str">
        <f>TEXT(Cleaned_Data[[#This Row],[submission_date]],"ddd")</f>
        <v>Thu</v>
      </c>
      <c r="L79" t="str">
        <f>TEXT(Cleaned_Data[[#This Row],[submission_date]],"MMM")</f>
        <v>Jul</v>
      </c>
      <c r="M79">
        <f>HOUR(Cleaned_Data[[#This Row],[submission_time]])</f>
        <v>15</v>
      </c>
    </row>
    <row r="80" spans="1:13" x14ac:dyDescent="0.35">
      <c r="A80" t="s">
        <v>184</v>
      </c>
      <c r="B80" s="3">
        <v>45861</v>
      </c>
      <c r="C80" s="4">
        <v>0.83267361111111116</v>
      </c>
      <c r="D80" s="3">
        <v>45864</v>
      </c>
      <c r="E80" s="4">
        <v>0.47895833333333332</v>
      </c>
      <c r="F80" t="s">
        <v>13</v>
      </c>
      <c r="G80" t="s">
        <v>14</v>
      </c>
      <c r="H80" t="s">
        <v>185</v>
      </c>
      <c r="I80" t="s">
        <v>29</v>
      </c>
      <c r="J80">
        <f t="shared" si="2"/>
        <v>72</v>
      </c>
      <c r="K80" t="str">
        <f>TEXT(Cleaned_Data[[#This Row],[submission_date]],"ddd")</f>
        <v>Wed</v>
      </c>
      <c r="L80" t="str">
        <f>TEXT(Cleaned_Data[[#This Row],[submission_date]],"MMM")</f>
        <v>Jul</v>
      </c>
      <c r="M80">
        <f>HOUR(Cleaned_Data[[#This Row],[submission_time]])</f>
        <v>19</v>
      </c>
    </row>
    <row r="81" spans="1:13" x14ac:dyDescent="0.35">
      <c r="A81" t="s">
        <v>186</v>
      </c>
      <c r="B81" s="3">
        <v>45835</v>
      </c>
      <c r="C81" s="4">
        <v>0.87400462962962966</v>
      </c>
      <c r="D81" s="3">
        <v>45839</v>
      </c>
      <c r="E81" s="4">
        <v>0.83916666666666662</v>
      </c>
      <c r="F81" t="s">
        <v>45</v>
      </c>
      <c r="G81" t="s">
        <v>14</v>
      </c>
      <c r="H81" t="s">
        <v>187</v>
      </c>
      <c r="I81" t="s">
        <v>29</v>
      </c>
      <c r="J81">
        <f t="shared" si="2"/>
        <v>96</v>
      </c>
      <c r="K81" t="str">
        <f>TEXT(Cleaned_Data[[#This Row],[submission_date]],"ddd")</f>
        <v>Fri</v>
      </c>
      <c r="L81" t="str">
        <f>TEXT(Cleaned_Data[[#This Row],[submission_date]],"MMM")</f>
        <v>Jun</v>
      </c>
      <c r="M81">
        <f>HOUR(Cleaned_Data[[#This Row],[submission_time]])</f>
        <v>20</v>
      </c>
    </row>
    <row r="82" spans="1:13" x14ac:dyDescent="0.35">
      <c r="A82" t="s">
        <v>188</v>
      </c>
      <c r="B82" s="3">
        <v>45827</v>
      </c>
      <c r="C82" s="4">
        <v>0.69692129629629629</v>
      </c>
      <c r="D82" s="3">
        <v>45833</v>
      </c>
      <c r="E82" s="4">
        <v>0.93932870370370369</v>
      </c>
      <c r="F82" t="s">
        <v>13</v>
      </c>
      <c r="G82" t="s">
        <v>35</v>
      </c>
      <c r="H82" t="s">
        <v>189</v>
      </c>
      <c r="I82" t="s">
        <v>29</v>
      </c>
      <c r="J82">
        <f t="shared" si="2"/>
        <v>144</v>
      </c>
      <c r="K82" t="str">
        <f>TEXT(Cleaned_Data[[#This Row],[submission_date]],"ddd")</f>
        <v>Thu</v>
      </c>
      <c r="L82" t="str">
        <f>TEXT(Cleaned_Data[[#This Row],[submission_date]],"MMM")</f>
        <v>Jun</v>
      </c>
      <c r="M82">
        <f>HOUR(Cleaned_Data[[#This Row],[submission_time]])</f>
        <v>16</v>
      </c>
    </row>
    <row r="83" spans="1:13" x14ac:dyDescent="0.35">
      <c r="A83" t="s">
        <v>190</v>
      </c>
      <c r="B83" s="3">
        <v>45835</v>
      </c>
      <c r="C83" s="4">
        <v>3.5231481481481482E-2</v>
      </c>
      <c r="D83" s="3">
        <v>45839</v>
      </c>
      <c r="E83" s="4">
        <v>0.4170949074074074</v>
      </c>
      <c r="F83" t="s">
        <v>31</v>
      </c>
      <c r="G83" t="s">
        <v>22</v>
      </c>
      <c r="H83" t="s">
        <v>191</v>
      </c>
      <c r="I83" t="s">
        <v>29</v>
      </c>
      <c r="J83">
        <f t="shared" si="2"/>
        <v>96</v>
      </c>
      <c r="K83" t="str">
        <f>TEXT(Cleaned_Data[[#This Row],[submission_date]],"ddd")</f>
        <v>Fri</v>
      </c>
      <c r="L83" t="str">
        <f>TEXT(Cleaned_Data[[#This Row],[submission_date]],"MMM")</f>
        <v>Jun</v>
      </c>
      <c r="M83">
        <f>HOUR(Cleaned_Data[[#This Row],[submission_time]])</f>
        <v>0</v>
      </c>
    </row>
    <row r="84" spans="1:13" x14ac:dyDescent="0.35">
      <c r="A84" t="s">
        <v>192</v>
      </c>
      <c r="B84" s="3">
        <v>45879</v>
      </c>
      <c r="C84" s="4">
        <v>0.47045138888888888</v>
      </c>
      <c r="D84" s="3">
        <v>45881</v>
      </c>
      <c r="E84" s="4">
        <v>0.34811342592592592</v>
      </c>
      <c r="F84" t="s">
        <v>13</v>
      </c>
      <c r="G84" t="s">
        <v>14</v>
      </c>
      <c r="H84" t="s">
        <v>193</v>
      </c>
      <c r="I84" t="s">
        <v>16</v>
      </c>
      <c r="J84">
        <f t="shared" si="2"/>
        <v>48</v>
      </c>
      <c r="K84" t="str">
        <f>TEXT(Cleaned_Data[[#This Row],[submission_date]],"ddd")</f>
        <v>Sun</v>
      </c>
      <c r="L84" t="str">
        <f>TEXT(Cleaned_Data[[#This Row],[submission_date]],"MMM")</f>
        <v>Aug</v>
      </c>
      <c r="M84">
        <f>HOUR(Cleaned_Data[[#This Row],[submission_time]])</f>
        <v>11</v>
      </c>
    </row>
    <row r="85" spans="1:13" x14ac:dyDescent="0.35">
      <c r="A85" t="s">
        <v>194</v>
      </c>
      <c r="B85" s="3">
        <v>45867</v>
      </c>
      <c r="C85" s="4">
        <v>7.5821759259259255E-2</v>
      </c>
      <c r="D85" s="3">
        <v>45869</v>
      </c>
      <c r="E85" s="4">
        <v>0.55989583333333337</v>
      </c>
      <c r="F85" t="s">
        <v>81</v>
      </c>
      <c r="G85" t="s">
        <v>25</v>
      </c>
      <c r="H85" t="s">
        <v>195</v>
      </c>
      <c r="I85" t="s">
        <v>29</v>
      </c>
      <c r="J85">
        <f t="shared" si="2"/>
        <v>48</v>
      </c>
      <c r="K85" t="str">
        <f>TEXT(Cleaned_Data[[#This Row],[submission_date]],"ddd")</f>
        <v>Tue</v>
      </c>
      <c r="L85" t="str">
        <f>TEXT(Cleaned_Data[[#This Row],[submission_date]],"MMM")</f>
        <v>Jul</v>
      </c>
      <c r="M85">
        <f>HOUR(Cleaned_Data[[#This Row],[submission_time]])</f>
        <v>1</v>
      </c>
    </row>
    <row r="86" spans="1:13" x14ac:dyDescent="0.35">
      <c r="A86" t="s">
        <v>196</v>
      </c>
      <c r="B86" s="3">
        <v>45844</v>
      </c>
      <c r="C86" s="4">
        <v>0.42295138888888889</v>
      </c>
      <c r="D86" s="3">
        <v>45849</v>
      </c>
      <c r="E86" s="4">
        <v>1.4386574074074074E-2</v>
      </c>
      <c r="F86" t="s">
        <v>21</v>
      </c>
      <c r="G86" t="s">
        <v>55</v>
      </c>
      <c r="H86" t="s">
        <v>197</v>
      </c>
      <c r="I86" t="s">
        <v>29</v>
      </c>
      <c r="J86">
        <f t="shared" si="2"/>
        <v>120</v>
      </c>
      <c r="K86" t="str">
        <f>TEXT(Cleaned_Data[[#This Row],[submission_date]],"ddd")</f>
        <v>Sun</v>
      </c>
      <c r="L86" t="str">
        <f>TEXT(Cleaned_Data[[#This Row],[submission_date]],"MMM")</f>
        <v>Jul</v>
      </c>
      <c r="M86">
        <f>HOUR(Cleaned_Data[[#This Row],[submission_time]])</f>
        <v>10</v>
      </c>
    </row>
    <row r="87" spans="1:13" x14ac:dyDescent="0.35">
      <c r="A87" t="s">
        <v>198</v>
      </c>
      <c r="B87" s="3">
        <v>45868</v>
      </c>
      <c r="C87" s="4">
        <v>0.18302083333333333</v>
      </c>
      <c r="D87" s="3">
        <v>45868</v>
      </c>
      <c r="E87" s="4">
        <v>0.547337962962963</v>
      </c>
      <c r="F87" t="s">
        <v>31</v>
      </c>
      <c r="G87" t="s">
        <v>32</v>
      </c>
      <c r="H87" t="s">
        <v>199</v>
      </c>
      <c r="I87" t="s">
        <v>11</v>
      </c>
      <c r="J87">
        <f t="shared" si="2"/>
        <v>0</v>
      </c>
      <c r="K87" t="str">
        <f>TEXT(Cleaned_Data[[#This Row],[submission_date]],"ddd")</f>
        <v>Wed</v>
      </c>
      <c r="L87" t="str">
        <f>TEXT(Cleaned_Data[[#This Row],[submission_date]],"MMM")</f>
        <v>Jul</v>
      </c>
      <c r="M87">
        <f>HOUR(Cleaned_Data[[#This Row],[submission_time]])</f>
        <v>4</v>
      </c>
    </row>
    <row r="88" spans="1:13" x14ac:dyDescent="0.35">
      <c r="A88" t="s">
        <v>200</v>
      </c>
      <c r="B88" s="3">
        <v>45892</v>
      </c>
      <c r="C88" s="4">
        <v>0.22128472222222223</v>
      </c>
      <c r="D88" s="3">
        <v>45893</v>
      </c>
      <c r="E88" s="4">
        <v>0.69247685185185182</v>
      </c>
      <c r="F88" t="s">
        <v>13</v>
      </c>
      <c r="G88" t="s">
        <v>42</v>
      </c>
      <c r="H88" t="s">
        <v>201</v>
      </c>
      <c r="I88" t="s">
        <v>16</v>
      </c>
      <c r="J88">
        <f t="shared" si="2"/>
        <v>24</v>
      </c>
      <c r="K88" t="str">
        <f>TEXT(Cleaned_Data[[#This Row],[submission_date]],"ddd")</f>
        <v>Sat</v>
      </c>
      <c r="L88" t="str">
        <f>TEXT(Cleaned_Data[[#This Row],[submission_date]],"MMM")</f>
        <v>Aug</v>
      </c>
      <c r="M88">
        <f>HOUR(Cleaned_Data[[#This Row],[submission_time]])</f>
        <v>5</v>
      </c>
    </row>
    <row r="89" spans="1:13" x14ac:dyDescent="0.35">
      <c r="A89" t="s">
        <v>202</v>
      </c>
      <c r="B89" s="3">
        <v>45848</v>
      </c>
      <c r="C89" s="4">
        <v>0.13289351851851852</v>
      </c>
      <c r="D89" s="3">
        <v>45848</v>
      </c>
      <c r="E89" s="4">
        <v>0.96668981481481486</v>
      </c>
      <c r="F89" t="s">
        <v>21</v>
      </c>
      <c r="G89" t="s">
        <v>18</v>
      </c>
      <c r="H89" t="s">
        <v>203</v>
      </c>
      <c r="I89" t="s">
        <v>16</v>
      </c>
      <c r="J89">
        <f t="shared" si="2"/>
        <v>0</v>
      </c>
      <c r="K89" t="str">
        <f>TEXT(Cleaned_Data[[#This Row],[submission_date]],"ddd")</f>
        <v>Thu</v>
      </c>
      <c r="L89" t="str">
        <f>TEXT(Cleaned_Data[[#This Row],[submission_date]],"MMM")</f>
        <v>Jul</v>
      </c>
      <c r="M89">
        <f>HOUR(Cleaned_Data[[#This Row],[submission_time]])</f>
        <v>3</v>
      </c>
    </row>
    <row r="90" spans="1:13" x14ac:dyDescent="0.35">
      <c r="A90" t="s">
        <v>204</v>
      </c>
      <c r="B90" s="3">
        <v>45912</v>
      </c>
      <c r="C90" s="4">
        <v>0.79074074074074074</v>
      </c>
      <c r="D90" s="3">
        <v>45914</v>
      </c>
      <c r="E90" s="4">
        <v>0.10553240740740741</v>
      </c>
      <c r="F90" t="s">
        <v>13</v>
      </c>
      <c r="G90" t="s">
        <v>32</v>
      </c>
      <c r="H90" t="s">
        <v>205</v>
      </c>
      <c r="I90" t="s">
        <v>16</v>
      </c>
      <c r="J90">
        <f t="shared" si="2"/>
        <v>48</v>
      </c>
      <c r="K90" t="str">
        <f>TEXT(Cleaned_Data[[#This Row],[submission_date]],"ddd")</f>
        <v>Fri</v>
      </c>
      <c r="L90" t="str">
        <f>TEXT(Cleaned_Data[[#This Row],[submission_date]],"MMM")</f>
        <v>Sep</v>
      </c>
      <c r="M90">
        <f>HOUR(Cleaned_Data[[#This Row],[submission_time]])</f>
        <v>18</v>
      </c>
    </row>
    <row r="91" spans="1:13" x14ac:dyDescent="0.35">
      <c r="A91" t="s">
        <v>206</v>
      </c>
      <c r="B91" s="3">
        <v>45902</v>
      </c>
      <c r="C91" s="4">
        <v>0.63942129629629629</v>
      </c>
      <c r="D91" s="3">
        <v>45908</v>
      </c>
      <c r="E91" s="4">
        <v>0.68162037037037038</v>
      </c>
      <c r="F91" t="s">
        <v>13</v>
      </c>
      <c r="G91" t="s">
        <v>32</v>
      </c>
      <c r="H91" t="s">
        <v>207</v>
      </c>
      <c r="I91" t="s">
        <v>29</v>
      </c>
      <c r="J91">
        <f t="shared" si="2"/>
        <v>144</v>
      </c>
      <c r="K91" t="str">
        <f>TEXT(Cleaned_Data[[#This Row],[submission_date]],"ddd")</f>
        <v>Tue</v>
      </c>
      <c r="L91" t="str">
        <f>TEXT(Cleaned_Data[[#This Row],[submission_date]],"MMM")</f>
        <v>Sep</v>
      </c>
      <c r="M91">
        <f>HOUR(Cleaned_Data[[#This Row],[submission_time]])</f>
        <v>15</v>
      </c>
    </row>
    <row r="92" spans="1:13" x14ac:dyDescent="0.35">
      <c r="A92" t="s">
        <v>208</v>
      </c>
      <c r="B92" s="3">
        <v>45850</v>
      </c>
      <c r="C92" s="4">
        <v>0.5031944444444445</v>
      </c>
      <c r="D92" s="3">
        <v>45851</v>
      </c>
      <c r="E92" s="4">
        <v>0.26550925925925928</v>
      </c>
      <c r="F92" t="s">
        <v>13</v>
      </c>
      <c r="G92" t="s">
        <v>9</v>
      </c>
      <c r="H92" t="s">
        <v>209</v>
      </c>
      <c r="I92" t="s">
        <v>16</v>
      </c>
      <c r="J92">
        <f t="shared" si="2"/>
        <v>24</v>
      </c>
      <c r="K92" t="str">
        <f>TEXT(Cleaned_Data[[#This Row],[submission_date]],"ddd")</f>
        <v>Sat</v>
      </c>
      <c r="L92" t="str">
        <f>TEXT(Cleaned_Data[[#This Row],[submission_date]],"MMM")</f>
        <v>Jul</v>
      </c>
      <c r="M92">
        <f>HOUR(Cleaned_Data[[#This Row],[submission_time]])</f>
        <v>12</v>
      </c>
    </row>
    <row r="93" spans="1:13" x14ac:dyDescent="0.35">
      <c r="A93" t="s">
        <v>210</v>
      </c>
      <c r="B93" s="3">
        <v>45875</v>
      </c>
      <c r="C93" s="4">
        <v>0.19216435185185185</v>
      </c>
      <c r="D93" s="3">
        <v>45881</v>
      </c>
      <c r="E93" s="4">
        <v>0.46458333333333335</v>
      </c>
      <c r="F93" t="s">
        <v>13</v>
      </c>
      <c r="G93" t="s">
        <v>32</v>
      </c>
      <c r="H93" t="s">
        <v>211</v>
      </c>
      <c r="I93" t="s">
        <v>29</v>
      </c>
      <c r="J93">
        <f t="shared" si="2"/>
        <v>144</v>
      </c>
      <c r="K93" t="str">
        <f>TEXT(Cleaned_Data[[#This Row],[submission_date]],"ddd")</f>
        <v>Wed</v>
      </c>
      <c r="L93" t="str">
        <f>TEXT(Cleaned_Data[[#This Row],[submission_date]],"MMM")</f>
        <v>Aug</v>
      </c>
      <c r="M93">
        <f>HOUR(Cleaned_Data[[#This Row],[submission_time]])</f>
        <v>4</v>
      </c>
    </row>
    <row r="94" spans="1:13" x14ac:dyDescent="0.35">
      <c r="A94" t="s">
        <v>212</v>
      </c>
      <c r="B94" s="3">
        <v>45832</v>
      </c>
      <c r="C94" s="4">
        <v>0.51815972222222217</v>
      </c>
      <c r="D94" s="3">
        <v>45834</v>
      </c>
      <c r="E94" s="4">
        <v>0.45112268518518517</v>
      </c>
      <c r="F94" t="s">
        <v>45</v>
      </c>
      <c r="G94" t="s">
        <v>22</v>
      </c>
      <c r="H94" t="s">
        <v>213</v>
      </c>
      <c r="I94" t="s">
        <v>16</v>
      </c>
      <c r="J94">
        <f t="shared" si="2"/>
        <v>48</v>
      </c>
      <c r="K94" t="str">
        <f>TEXT(Cleaned_Data[[#This Row],[submission_date]],"ddd")</f>
        <v>Tue</v>
      </c>
      <c r="L94" t="str">
        <f>TEXT(Cleaned_Data[[#This Row],[submission_date]],"MMM")</f>
        <v>Jun</v>
      </c>
      <c r="M94">
        <f>HOUR(Cleaned_Data[[#This Row],[submission_time]])</f>
        <v>12</v>
      </c>
    </row>
    <row r="95" spans="1:13" x14ac:dyDescent="0.35">
      <c r="A95" t="s">
        <v>214</v>
      </c>
      <c r="B95" s="3">
        <v>45833</v>
      </c>
      <c r="C95" s="4">
        <v>0.89424768518518516</v>
      </c>
      <c r="D95" s="3">
        <v>45837</v>
      </c>
      <c r="E95" s="4">
        <v>0.29781249999999998</v>
      </c>
      <c r="F95" t="s">
        <v>8</v>
      </c>
      <c r="G95" t="s">
        <v>22</v>
      </c>
      <c r="H95" t="s">
        <v>215</v>
      </c>
      <c r="I95" t="s">
        <v>29</v>
      </c>
      <c r="J95">
        <f t="shared" si="2"/>
        <v>96</v>
      </c>
      <c r="K95" t="str">
        <f>TEXT(Cleaned_Data[[#This Row],[submission_date]],"ddd")</f>
        <v>Wed</v>
      </c>
      <c r="L95" t="str">
        <f>TEXT(Cleaned_Data[[#This Row],[submission_date]],"MMM")</f>
        <v>Jun</v>
      </c>
      <c r="M95">
        <f>HOUR(Cleaned_Data[[#This Row],[submission_time]])</f>
        <v>21</v>
      </c>
    </row>
    <row r="96" spans="1:13" x14ac:dyDescent="0.35">
      <c r="A96" t="s">
        <v>216</v>
      </c>
      <c r="B96" s="3">
        <v>45863</v>
      </c>
      <c r="C96" s="4">
        <v>0.62964120370370369</v>
      </c>
      <c r="D96" s="3">
        <v>45868</v>
      </c>
      <c r="E96" s="4">
        <v>3.0023148148148149E-2</v>
      </c>
      <c r="F96" t="s">
        <v>31</v>
      </c>
      <c r="G96" t="s">
        <v>42</v>
      </c>
      <c r="H96" t="s">
        <v>217</v>
      </c>
      <c r="I96" t="s">
        <v>29</v>
      </c>
      <c r="J96">
        <f t="shared" si="2"/>
        <v>120</v>
      </c>
      <c r="K96" t="str">
        <f>TEXT(Cleaned_Data[[#This Row],[submission_date]],"ddd")</f>
        <v>Fri</v>
      </c>
      <c r="L96" t="str">
        <f>TEXT(Cleaned_Data[[#This Row],[submission_date]],"MMM")</f>
        <v>Jul</v>
      </c>
      <c r="M96">
        <f>HOUR(Cleaned_Data[[#This Row],[submission_time]])</f>
        <v>15</v>
      </c>
    </row>
    <row r="97" spans="1:13" x14ac:dyDescent="0.35">
      <c r="A97" t="s">
        <v>218</v>
      </c>
      <c r="B97" s="3">
        <v>45863</v>
      </c>
      <c r="C97" s="4">
        <v>0.74129629629629634</v>
      </c>
      <c r="D97" s="3">
        <v>45864</v>
      </c>
      <c r="E97" s="4">
        <v>0.90925925925925921</v>
      </c>
      <c r="F97" t="s">
        <v>8</v>
      </c>
      <c r="G97" t="s">
        <v>9</v>
      </c>
      <c r="H97" t="s">
        <v>219</v>
      </c>
      <c r="I97" t="s">
        <v>16</v>
      </c>
      <c r="J97">
        <f t="shared" si="2"/>
        <v>24</v>
      </c>
      <c r="K97" t="str">
        <f>TEXT(Cleaned_Data[[#This Row],[submission_date]],"ddd")</f>
        <v>Fri</v>
      </c>
      <c r="L97" t="str">
        <f>TEXT(Cleaned_Data[[#This Row],[submission_date]],"MMM")</f>
        <v>Jul</v>
      </c>
      <c r="M97">
        <f>HOUR(Cleaned_Data[[#This Row],[submission_time]])</f>
        <v>17</v>
      </c>
    </row>
    <row r="98" spans="1:13" x14ac:dyDescent="0.35">
      <c r="A98" t="s">
        <v>220</v>
      </c>
      <c r="B98" s="3">
        <v>45881</v>
      </c>
      <c r="C98" s="4">
        <v>0.7428703703703704</v>
      </c>
      <c r="D98" s="3">
        <v>45883</v>
      </c>
      <c r="E98" s="4">
        <v>0.56549768518518517</v>
      </c>
      <c r="F98" t="s">
        <v>31</v>
      </c>
      <c r="G98" t="s">
        <v>25</v>
      </c>
      <c r="H98" t="s">
        <v>221</v>
      </c>
      <c r="I98" t="s">
        <v>29</v>
      </c>
      <c r="J98">
        <f t="shared" ref="J98:J129" si="3">(D98-B98)*24</f>
        <v>48</v>
      </c>
      <c r="K98" t="str">
        <f>TEXT(Cleaned_Data[[#This Row],[submission_date]],"ddd")</f>
        <v>Tue</v>
      </c>
      <c r="L98" t="str">
        <f>TEXT(Cleaned_Data[[#This Row],[submission_date]],"MMM")</f>
        <v>Aug</v>
      </c>
      <c r="M98">
        <f>HOUR(Cleaned_Data[[#This Row],[submission_time]])</f>
        <v>17</v>
      </c>
    </row>
    <row r="99" spans="1:13" x14ac:dyDescent="0.35">
      <c r="A99" t="s">
        <v>222</v>
      </c>
      <c r="B99" s="3">
        <v>45863</v>
      </c>
      <c r="C99" s="4">
        <v>0.88633101851851848</v>
      </c>
      <c r="D99" s="3">
        <v>45870</v>
      </c>
      <c r="E99" s="4">
        <v>0.56178240740740737</v>
      </c>
      <c r="F99" t="s">
        <v>21</v>
      </c>
      <c r="G99" t="s">
        <v>32</v>
      </c>
      <c r="H99" t="s">
        <v>223</v>
      </c>
      <c r="I99" t="s">
        <v>29</v>
      </c>
      <c r="J99">
        <f t="shared" si="3"/>
        <v>168</v>
      </c>
      <c r="K99" t="str">
        <f>TEXT(Cleaned_Data[[#This Row],[submission_date]],"ddd")</f>
        <v>Fri</v>
      </c>
      <c r="L99" t="str">
        <f>TEXT(Cleaned_Data[[#This Row],[submission_date]],"MMM")</f>
        <v>Jul</v>
      </c>
      <c r="M99">
        <f>HOUR(Cleaned_Data[[#This Row],[submission_time]])</f>
        <v>21</v>
      </c>
    </row>
    <row r="100" spans="1:13" x14ac:dyDescent="0.35">
      <c r="A100" t="s">
        <v>224</v>
      </c>
      <c r="B100" s="3">
        <v>45914</v>
      </c>
      <c r="C100" s="4">
        <v>0.8075</v>
      </c>
      <c r="D100" s="3">
        <v>45914</v>
      </c>
      <c r="E100" s="4">
        <v>0.9350694444444444</v>
      </c>
      <c r="F100" t="s">
        <v>13</v>
      </c>
      <c r="G100" t="s">
        <v>14</v>
      </c>
      <c r="H100" t="s">
        <v>225</v>
      </c>
      <c r="I100" t="s">
        <v>11</v>
      </c>
      <c r="J100">
        <f t="shared" si="3"/>
        <v>0</v>
      </c>
      <c r="K100" t="str">
        <f>TEXT(Cleaned_Data[[#This Row],[submission_date]],"ddd")</f>
        <v>Sun</v>
      </c>
      <c r="L100" t="str">
        <f>TEXT(Cleaned_Data[[#This Row],[submission_date]],"MMM")</f>
        <v>Sep</v>
      </c>
      <c r="M100">
        <f>HOUR(Cleaned_Data[[#This Row],[submission_time]])</f>
        <v>19</v>
      </c>
    </row>
    <row r="101" spans="1:13" x14ac:dyDescent="0.35">
      <c r="A101" t="s">
        <v>226</v>
      </c>
      <c r="B101" s="3">
        <v>45869</v>
      </c>
      <c r="C101" s="4">
        <v>1.068287037037037E-2</v>
      </c>
      <c r="D101" s="3">
        <v>45869</v>
      </c>
      <c r="E101" s="4">
        <v>0.37782407407407409</v>
      </c>
      <c r="F101" t="s">
        <v>21</v>
      </c>
      <c r="G101" t="s">
        <v>25</v>
      </c>
      <c r="H101" t="s">
        <v>227</v>
      </c>
      <c r="I101" t="s">
        <v>16</v>
      </c>
      <c r="J101">
        <f t="shared" si="3"/>
        <v>0</v>
      </c>
      <c r="K101" t="str">
        <f>TEXT(Cleaned_Data[[#This Row],[submission_date]],"ddd")</f>
        <v>Thu</v>
      </c>
      <c r="L101" t="str">
        <f>TEXT(Cleaned_Data[[#This Row],[submission_date]],"MMM")</f>
        <v>Jul</v>
      </c>
      <c r="M101">
        <f>HOUR(Cleaned_Data[[#This Row],[submission_time]])</f>
        <v>0</v>
      </c>
    </row>
    <row r="102" spans="1:13" x14ac:dyDescent="0.35">
      <c r="A102" t="s">
        <v>228</v>
      </c>
      <c r="B102" s="3">
        <v>45886</v>
      </c>
      <c r="C102" s="4">
        <v>0.5511921296296296</v>
      </c>
      <c r="D102" s="3">
        <v>45886</v>
      </c>
      <c r="E102" s="4">
        <v>0.63738425925925923</v>
      </c>
      <c r="F102" t="s">
        <v>13</v>
      </c>
      <c r="G102" t="s">
        <v>32</v>
      </c>
      <c r="H102" t="s">
        <v>229</v>
      </c>
      <c r="I102" t="s">
        <v>115</v>
      </c>
      <c r="J102">
        <f t="shared" si="3"/>
        <v>0</v>
      </c>
      <c r="K102" t="str">
        <f>TEXT(Cleaned_Data[[#This Row],[submission_date]],"ddd")</f>
        <v>Sun</v>
      </c>
      <c r="L102" t="str">
        <f>TEXT(Cleaned_Data[[#This Row],[submission_date]],"MMM")</f>
        <v>Aug</v>
      </c>
      <c r="M102">
        <f>HOUR(Cleaned_Data[[#This Row],[submission_time]])</f>
        <v>13</v>
      </c>
    </row>
    <row r="103" spans="1:13" x14ac:dyDescent="0.35">
      <c r="A103" t="s">
        <v>230</v>
      </c>
      <c r="B103" s="3">
        <v>45911</v>
      </c>
      <c r="C103" s="4">
        <v>0.53831018518518514</v>
      </c>
      <c r="D103" s="3">
        <v>45913</v>
      </c>
      <c r="E103" s="4">
        <v>0.27186342592592594</v>
      </c>
      <c r="F103" t="s">
        <v>13</v>
      </c>
      <c r="G103" t="s">
        <v>42</v>
      </c>
      <c r="H103" t="s">
        <v>231</v>
      </c>
      <c r="I103" t="s">
        <v>16</v>
      </c>
      <c r="J103">
        <f t="shared" si="3"/>
        <v>48</v>
      </c>
      <c r="K103" t="str">
        <f>TEXT(Cleaned_Data[[#This Row],[submission_date]],"ddd")</f>
        <v>Thu</v>
      </c>
      <c r="L103" t="str">
        <f>TEXT(Cleaned_Data[[#This Row],[submission_date]],"MMM")</f>
        <v>Sep</v>
      </c>
      <c r="M103">
        <f>HOUR(Cleaned_Data[[#This Row],[submission_time]])</f>
        <v>12</v>
      </c>
    </row>
    <row r="104" spans="1:13" x14ac:dyDescent="0.35">
      <c r="A104" t="s">
        <v>232</v>
      </c>
      <c r="B104" s="3">
        <v>45839</v>
      </c>
      <c r="C104" s="4">
        <v>0.36759259259259258</v>
      </c>
      <c r="D104" s="3">
        <v>45840</v>
      </c>
      <c r="E104" s="4">
        <v>0.47271990740740738</v>
      </c>
      <c r="F104" t="s">
        <v>8</v>
      </c>
      <c r="G104" t="s">
        <v>32</v>
      </c>
      <c r="H104" t="s">
        <v>233</v>
      </c>
      <c r="I104" t="s">
        <v>29</v>
      </c>
      <c r="J104">
        <f t="shared" si="3"/>
        <v>24</v>
      </c>
      <c r="K104" t="str">
        <f>TEXT(Cleaned_Data[[#This Row],[submission_date]],"ddd")</f>
        <v>Tue</v>
      </c>
      <c r="L104" t="str">
        <f>TEXT(Cleaned_Data[[#This Row],[submission_date]],"MMM")</f>
        <v>Jul</v>
      </c>
      <c r="M104">
        <f>HOUR(Cleaned_Data[[#This Row],[submission_time]])</f>
        <v>8</v>
      </c>
    </row>
    <row r="105" spans="1:13" x14ac:dyDescent="0.35">
      <c r="A105" t="s">
        <v>234</v>
      </c>
      <c r="B105" s="3">
        <v>45833</v>
      </c>
      <c r="C105" s="4">
        <v>0.94168981481481484</v>
      </c>
      <c r="D105" s="3">
        <v>45834</v>
      </c>
      <c r="E105" s="4">
        <v>0.41648148148148151</v>
      </c>
      <c r="F105" t="s">
        <v>13</v>
      </c>
      <c r="G105" t="s">
        <v>55</v>
      </c>
      <c r="H105" t="s">
        <v>235</v>
      </c>
      <c r="I105" t="s">
        <v>16</v>
      </c>
      <c r="J105">
        <f t="shared" si="3"/>
        <v>24</v>
      </c>
      <c r="K105" t="str">
        <f>TEXT(Cleaned_Data[[#This Row],[submission_date]],"ddd")</f>
        <v>Wed</v>
      </c>
      <c r="L105" t="str">
        <f>TEXT(Cleaned_Data[[#This Row],[submission_date]],"MMM")</f>
        <v>Jun</v>
      </c>
      <c r="M105">
        <f>HOUR(Cleaned_Data[[#This Row],[submission_time]])</f>
        <v>22</v>
      </c>
    </row>
    <row r="106" spans="1:13" x14ac:dyDescent="0.35">
      <c r="A106" t="s">
        <v>236</v>
      </c>
      <c r="B106" s="3">
        <v>45906</v>
      </c>
      <c r="C106" s="4">
        <v>0.26320601851851849</v>
      </c>
      <c r="D106" s="3">
        <v>45906</v>
      </c>
      <c r="E106" s="4">
        <v>0.44197916666666665</v>
      </c>
      <c r="F106" t="s">
        <v>81</v>
      </c>
      <c r="G106" t="s">
        <v>55</v>
      </c>
      <c r="H106" t="s">
        <v>237</v>
      </c>
      <c r="I106" t="s">
        <v>11</v>
      </c>
      <c r="J106">
        <f t="shared" si="3"/>
        <v>0</v>
      </c>
      <c r="K106" t="str">
        <f>TEXT(Cleaned_Data[[#This Row],[submission_date]],"ddd")</f>
        <v>Sat</v>
      </c>
      <c r="L106" t="str">
        <f>TEXT(Cleaned_Data[[#This Row],[submission_date]],"MMM")</f>
        <v>Sep</v>
      </c>
      <c r="M106">
        <f>HOUR(Cleaned_Data[[#This Row],[submission_time]])</f>
        <v>6</v>
      </c>
    </row>
    <row r="107" spans="1:13" x14ac:dyDescent="0.35">
      <c r="A107" t="s">
        <v>238</v>
      </c>
      <c r="B107" s="3">
        <v>45872</v>
      </c>
      <c r="C107" s="4">
        <v>0.28131944444444446</v>
      </c>
      <c r="D107" s="3">
        <v>45874</v>
      </c>
      <c r="E107" s="4">
        <v>0.69540509259259264</v>
      </c>
      <c r="F107" t="s">
        <v>45</v>
      </c>
      <c r="G107" t="s">
        <v>46</v>
      </c>
      <c r="H107" t="s">
        <v>239</v>
      </c>
      <c r="I107" t="s">
        <v>29</v>
      </c>
      <c r="J107">
        <f t="shared" si="3"/>
        <v>48</v>
      </c>
      <c r="K107" t="str">
        <f>TEXT(Cleaned_Data[[#This Row],[submission_date]],"ddd")</f>
        <v>Sun</v>
      </c>
      <c r="L107" t="str">
        <f>TEXT(Cleaned_Data[[#This Row],[submission_date]],"MMM")</f>
        <v>Aug</v>
      </c>
      <c r="M107">
        <f>HOUR(Cleaned_Data[[#This Row],[submission_time]])</f>
        <v>6</v>
      </c>
    </row>
    <row r="108" spans="1:13" x14ac:dyDescent="0.35">
      <c r="A108" t="s">
        <v>240</v>
      </c>
      <c r="B108" s="3">
        <v>45886</v>
      </c>
      <c r="C108" s="4">
        <v>0.51251157407407411</v>
      </c>
      <c r="D108" s="3">
        <v>45887</v>
      </c>
      <c r="E108" s="4">
        <v>0.77056712962962959</v>
      </c>
      <c r="F108" t="s">
        <v>81</v>
      </c>
      <c r="G108" t="s">
        <v>18</v>
      </c>
      <c r="H108" t="s">
        <v>241</v>
      </c>
      <c r="I108" t="s">
        <v>16</v>
      </c>
      <c r="J108">
        <f t="shared" si="3"/>
        <v>24</v>
      </c>
      <c r="K108" t="str">
        <f>TEXT(Cleaned_Data[[#This Row],[submission_date]],"ddd")</f>
        <v>Sun</v>
      </c>
      <c r="L108" t="str">
        <f>TEXT(Cleaned_Data[[#This Row],[submission_date]],"MMM")</f>
        <v>Aug</v>
      </c>
      <c r="M108">
        <f>HOUR(Cleaned_Data[[#This Row],[submission_time]])</f>
        <v>12</v>
      </c>
    </row>
    <row r="109" spans="1:13" x14ac:dyDescent="0.35">
      <c r="A109" t="s">
        <v>242</v>
      </c>
      <c r="B109" s="3">
        <v>45866</v>
      </c>
      <c r="C109" s="4">
        <v>0.62096064814814811</v>
      </c>
      <c r="D109" s="3">
        <v>45869</v>
      </c>
      <c r="E109" s="4">
        <v>0.34109953703703705</v>
      </c>
      <c r="F109" t="s">
        <v>21</v>
      </c>
      <c r="G109" t="s">
        <v>14</v>
      </c>
      <c r="H109" t="s">
        <v>243</v>
      </c>
      <c r="I109" t="s">
        <v>29</v>
      </c>
      <c r="J109">
        <f t="shared" si="3"/>
        <v>72</v>
      </c>
      <c r="K109" t="str">
        <f>TEXT(Cleaned_Data[[#This Row],[submission_date]],"ddd")</f>
        <v>Mon</v>
      </c>
      <c r="L109" t="str">
        <f>TEXT(Cleaned_Data[[#This Row],[submission_date]],"MMM")</f>
        <v>Jul</v>
      </c>
      <c r="M109">
        <f>HOUR(Cleaned_Data[[#This Row],[submission_time]])</f>
        <v>14</v>
      </c>
    </row>
    <row r="110" spans="1:13" x14ac:dyDescent="0.35">
      <c r="A110" t="s">
        <v>244</v>
      </c>
      <c r="B110" s="3">
        <v>45850</v>
      </c>
      <c r="C110" s="4">
        <v>0.28998842592592594</v>
      </c>
      <c r="D110" s="3">
        <v>45850</v>
      </c>
      <c r="E110" s="4">
        <v>0.49744212962962964</v>
      </c>
      <c r="F110" t="s">
        <v>21</v>
      </c>
      <c r="G110" t="s">
        <v>18</v>
      </c>
      <c r="H110" t="s">
        <v>245</v>
      </c>
      <c r="I110" t="s">
        <v>11</v>
      </c>
      <c r="J110">
        <f t="shared" si="3"/>
        <v>0</v>
      </c>
      <c r="K110" t="str">
        <f>TEXT(Cleaned_Data[[#This Row],[submission_date]],"ddd")</f>
        <v>Sat</v>
      </c>
      <c r="L110" t="str">
        <f>TEXT(Cleaned_Data[[#This Row],[submission_date]],"MMM")</f>
        <v>Jul</v>
      </c>
      <c r="M110">
        <f>HOUR(Cleaned_Data[[#This Row],[submission_time]])</f>
        <v>6</v>
      </c>
    </row>
    <row r="111" spans="1:13" x14ac:dyDescent="0.35">
      <c r="A111" t="s">
        <v>246</v>
      </c>
      <c r="B111" s="3">
        <v>45851</v>
      </c>
      <c r="C111" s="4">
        <v>1.6805555555555556E-2</v>
      </c>
      <c r="D111" s="3">
        <v>45857</v>
      </c>
      <c r="E111" s="4">
        <v>0.93373842592592593</v>
      </c>
      <c r="F111" t="s">
        <v>13</v>
      </c>
      <c r="G111" t="s">
        <v>18</v>
      </c>
      <c r="H111" t="s">
        <v>247</v>
      </c>
      <c r="I111" t="s">
        <v>29</v>
      </c>
      <c r="J111">
        <f t="shared" si="3"/>
        <v>144</v>
      </c>
      <c r="K111" t="str">
        <f>TEXT(Cleaned_Data[[#This Row],[submission_date]],"ddd")</f>
        <v>Sun</v>
      </c>
      <c r="L111" t="str">
        <f>TEXT(Cleaned_Data[[#This Row],[submission_date]],"MMM")</f>
        <v>Jul</v>
      </c>
      <c r="M111">
        <f>HOUR(Cleaned_Data[[#This Row],[submission_time]])</f>
        <v>0</v>
      </c>
    </row>
    <row r="112" spans="1:13" x14ac:dyDescent="0.35">
      <c r="A112" t="s">
        <v>248</v>
      </c>
      <c r="B112" s="3">
        <v>45852</v>
      </c>
      <c r="C112" s="4">
        <v>0.24748842592592593</v>
      </c>
      <c r="D112" s="3">
        <v>45852</v>
      </c>
      <c r="E112" s="4">
        <v>0.52489583333333334</v>
      </c>
      <c r="F112" t="s">
        <v>31</v>
      </c>
      <c r="G112" t="s">
        <v>42</v>
      </c>
      <c r="H112" t="s">
        <v>249</v>
      </c>
      <c r="I112" t="s">
        <v>11</v>
      </c>
      <c r="J112">
        <f t="shared" si="3"/>
        <v>0</v>
      </c>
      <c r="K112" t="str">
        <f>TEXT(Cleaned_Data[[#This Row],[submission_date]],"ddd")</f>
        <v>Mon</v>
      </c>
      <c r="L112" t="str">
        <f>TEXT(Cleaned_Data[[#This Row],[submission_date]],"MMM")</f>
        <v>Jul</v>
      </c>
      <c r="M112">
        <f>HOUR(Cleaned_Data[[#This Row],[submission_time]])</f>
        <v>5</v>
      </c>
    </row>
    <row r="113" spans="1:13" x14ac:dyDescent="0.35">
      <c r="A113" t="s">
        <v>250</v>
      </c>
      <c r="B113" s="3">
        <v>45897</v>
      </c>
      <c r="C113" s="4">
        <v>0.47909722222222223</v>
      </c>
      <c r="D113" s="3">
        <v>45904</v>
      </c>
      <c r="E113" s="4">
        <v>0.44458333333333333</v>
      </c>
      <c r="F113" t="s">
        <v>13</v>
      </c>
      <c r="G113" t="s">
        <v>18</v>
      </c>
      <c r="H113" t="s">
        <v>251</v>
      </c>
      <c r="I113" t="s">
        <v>29</v>
      </c>
      <c r="J113">
        <f t="shared" si="3"/>
        <v>168</v>
      </c>
      <c r="K113" t="str">
        <f>TEXT(Cleaned_Data[[#This Row],[submission_date]],"ddd")</f>
        <v>Thu</v>
      </c>
      <c r="L113" t="str">
        <f>TEXT(Cleaned_Data[[#This Row],[submission_date]],"MMM")</f>
        <v>Aug</v>
      </c>
      <c r="M113">
        <f>HOUR(Cleaned_Data[[#This Row],[submission_time]])</f>
        <v>11</v>
      </c>
    </row>
    <row r="114" spans="1:13" x14ac:dyDescent="0.35">
      <c r="A114" t="s">
        <v>252</v>
      </c>
      <c r="B114" s="3">
        <v>45897</v>
      </c>
      <c r="C114" s="4">
        <v>0.33484953703703701</v>
      </c>
      <c r="D114" s="3">
        <v>45902</v>
      </c>
      <c r="E114" s="4">
        <v>0.19508101851851853</v>
      </c>
      <c r="F114" t="s">
        <v>60</v>
      </c>
      <c r="G114" t="s">
        <v>14</v>
      </c>
      <c r="H114" t="s">
        <v>253</v>
      </c>
      <c r="I114" t="s">
        <v>29</v>
      </c>
      <c r="J114">
        <f t="shared" si="3"/>
        <v>120</v>
      </c>
      <c r="K114" t="str">
        <f>TEXT(Cleaned_Data[[#This Row],[submission_date]],"ddd")</f>
        <v>Thu</v>
      </c>
      <c r="L114" t="str">
        <f>TEXT(Cleaned_Data[[#This Row],[submission_date]],"MMM")</f>
        <v>Aug</v>
      </c>
      <c r="M114">
        <f>HOUR(Cleaned_Data[[#This Row],[submission_time]])</f>
        <v>8</v>
      </c>
    </row>
    <row r="115" spans="1:13" x14ac:dyDescent="0.35">
      <c r="A115" t="s">
        <v>254</v>
      </c>
      <c r="B115" s="3">
        <v>45889</v>
      </c>
      <c r="C115" s="4">
        <v>0.47208333333333335</v>
      </c>
      <c r="D115" s="3">
        <v>45889</v>
      </c>
      <c r="E115" s="4">
        <v>0.56359953703703702</v>
      </c>
      <c r="F115" t="s">
        <v>21</v>
      </c>
      <c r="G115" t="s">
        <v>22</v>
      </c>
      <c r="H115" t="s">
        <v>255</v>
      </c>
      <c r="I115" t="s">
        <v>11</v>
      </c>
      <c r="J115">
        <f t="shared" si="3"/>
        <v>0</v>
      </c>
      <c r="K115" t="str">
        <f>TEXT(Cleaned_Data[[#This Row],[submission_date]],"ddd")</f>
        <v>Wed</v>
      </c>
      <c r="L115" t="str">
        <f>TEXT(Cleaned_Data[[#This Row],[submission_date]],"MMM")</f>
        <v>Aug</v>
      </c>
      <c r="M115">
        <f>HOUR(Cleaned_Data[[#This Row],[submission_time]])</f>
        <v>11</v>
      </c>
    </row>
    <row r="116" spans="1:13" x14ac:dyDescent="0.35">
      <c r="A116" t="s">
        <v>256</v>
      </c>
      <c r="B116" s="3">
        <v>45834</v>
      </c>
      <c r="C116" s="4">
        <v>0.27725694444444443</v>
      </c>
      <c r="D116" s="3">
        <v>45834</v>
      </c>
      <c r="E116" s="4">
        <v>0.88018518518518518</v>
      </c>
      <c r="F116" t="s">
        <v>8</v>
      </c>
      <c r="G116" t="s">
        <v>25</v>
      </c>
      <c r="H116" t="s">
        <v>257</v>
      </c>
      <c r="I116" t="s">
        <v>16</v>
      </c>
      <c r="J116">
        <f t="shared" si="3"/>
        <v>0</v>
      </c>
      <c r="K116" t="str">
        <f>TEXT(Cleaned_Data[[#This Row],[submission_date]],"ddd")</f>
        <v>Thu</v>
      </c>
      <c r="L116" t="str">
        <f>TEXT(Cleaned_Data[[#This Row],[submission_date]],"MMM")</f>
        <v>Jun</v>
      </c>
      <c r="M116">
        <f>HOUR(Cleaned_Data[[#This Row],[submission_time]])</f>
        <v>6</v>
      </c>
    </row>
    <row r="117" spans="1:13" x14ac:dyDescent="0.35">
      <c r="A117" t="s">
        <v>258</v>
      </c>
      <c r="B117" s="3">
        <v>45904</v>
      </c>
      <c r="C117" s="4">
        <v>1.5740740740740741E-3</v>
      </c>
      <c r="D117" s="3">
        <v>45908</v>
      </c>
      <c r="E117" s="4">
        <v>0.74359953703703707</v>
      </c>
      <c r="F117" t="s">
        <v>31</v>
      </c>
      <c r="G117" t="s">
        <v>55</v>
      </c>
      <c r="H117" t="s">
        <v>259</v>
      </c>
      <c r="I117" t="s">
        <v>29</v>
      </c>
      <c r="J117">
        <f t="shared" si="3"/>
        <v>96</v>
      </c>
      <c r="K117" t="str">
        <f>TEXT(Cleaned_Data[[#This Row],[submission_date]],"ddd")</f>
        <v>Thu</v>
      </c>
      <c r="L117" t="str">
        <f>TEXT(Cleaned_Data[[#This Row],[submission_date]],"MMM")</f>
        <v>Sep</v>
      </c>
      <c r="M117">
        <f>HOUR(Cleaned_Data[[#This Row],[submission_time]])</f>
        <v>0</v>
      </c>
    </row>
    <row r="118" spans="1:13" x14ac:dyDescent="0.35">
      <c r="A118" t="s">
        <v>260</v>
      </c>
      <c r="B118" s="3">
        <v>45852</v>
      </c>
      <c r="C118" s="4">
        <v>0.14534722222222221</v>
      </c>
      <c r="D118" s="3">
        <v>45853</v>
      </c>
      <c r="E118" s="4">
        <v>0.49328703703703702</v>
      </c>
      <c r="F118" t="s">
        <v>13</v>
      </c>
      <c r="G118" t="s">
        <v>18</v>
      </c>
      <c r="H118" t="s">
        <v>261</v>
      </c>
      <c r="I118" t="s">
        <v>16</v>
      </c>
      <c r="J118">
        <f t="shared" si="3"/>
        <v>24</v>
      </c>
      <c r="K118" t="str">
        <f>TEXT(Cleaned_Data[[#This Row],[submission_date]],"ddd")</f>
        <v>Mon</v>
      </c>
      <c r="L118" t="str">
        <f>TEXT(Cleaned_Data[[#This Row],[submission_date]],"MMM")</f>
        <v>Jul</v>
      </c>
      <c r="M118">
        <f>HOUR(Cleaned_Data[[#This Row],[submission_time]])</f>
        <v>3</v>
      </c>
    </row>
    <row r="119" spans="1:13" x14ac:dyDescent="0.35">
      <c r="A119" t="s">
        <v>262</v>
      </c>
      <c r="B119" s="3">
        <v>45862</v>
      </c>
      <c r="C119" s="4">
        <v>0.27781250000000002</v>
      </c>
      <c r="D119" s="3">
        <v>45864</v>
      </c>
      <c r="E119" s="4">
        <v>9.6365740740740738E-2</v>
      </c>
      <c r="F119" t="s">
        <v>31</v>
      </c>
      <c r="G119" t="s">
        <v>46</v>
      </c>
      <c r="H119" t="s">
        <v>263</v>
      </c>
      <c r="I119" t="s">
        <v>16</v>
      </c>
      <c r="J119">
        <f t="shared" si="3"/>
        <v>48</v>
      </c>
      <c r="K119" t="str">
        <f>TEXT(Cleaned_Data[[#This Row],[submission_date]],"ddd")</f>
        <v>Thu</v>
      </c>
      <c r="L119" t="str">
        <f>TEXT(Cleaned_Data[[#This Row],[submission_date]],"MMM")</f>
        <v>Jul</v>
      </c>
      <c r="M119">
        <f>HOUR(Cleaned_Data[[#This Row],[submission_time]])</f>
        <v>6</v>
      </c>
    </row>
    <row r="120" spans="1:13" x14ac:dyDescent="0.35">
      <c r="A120" t="s">
        <v>264</v>
      </c>
      <c r="B120" s="3">
        <v>45872</v>
      </c>
      <c r="C120" s="4">
        <v>0.94608796296296294</v>
      </c>
      <c r="D120" s="3">
        <v>45879</v>
      </c>
      <c r="E120" s="4">
        <v>0.54162037037037036</v>
      </c>
      <c r="F120" t="s">
        <v>81</v>
      </c>
      <c r="G120" t="s">
        <v>32</v>
      </c>
      <c r="H120" t="s">
        <v>265</v>
      </c>
      <c r="I120" t="s">
        <v>29</v>
      </c>
      <c r="J120">
        <f t="shared" si="3"/>
        <v>168</v>
      </c>
      <c r="K120" t="str">
        <f>TEXT(Cleaned_Data[[#This Row],[submission_date]],"ddd")</f>
        <v>Sun</v>
      </c>
      <c r="L120" t="str">
        <f>TEXT(Cleaned_Data[[#This Row],[submission_date]],"MMM")</f>
        <v>Aug</v>
      </c>
      <c r="M120">
        <f>HOUR(Cleaned_Data[[#This Row],[submission_time]])</f>
        <v>22</v>
      </c>
    </row>
    <row r="121" spans="1:13" x14ac:dyDescent="0.35">
      <c r="A121" t="s">
        <v>266</v>
      </c>
      <c r="B121" s="3">
        <v>45850</v>
      </c>
      <c r="C121" s="4">
        <v>1.0810185185185185E-2</v>
      </c>
      <c r="D121" s="3">
        <v>45850</v>
      </c>
      <c r="E121" s="4">
        <v>0.79532407407407413</v>
      </c>
      <c r="F121" t="s">
        <v>21</v>
      </c>
      <c r="G121" t="s">
        <v>14</v>
      </c>
      <c r="H121" t="s">
        <v>267</v>
      </c>
      <c r="I121" t="s">
        <v>16</v>
      </c>
      <c r="J121">
        <f t="shared" si="3"/>
        <v>0</v>
      </c>
      <c r="K121" t="str">
        <f>TEXT(Cleaned_Data[[#This Row],[submission_date]],"ddd")</f>
        <v>Sat</v>
      </c>
      <c r="L121" t="str">
        <f>TEXT(Cleaned_Data[[#This Row],[submission_date]],"MMM")</f>
        <v>Jul</v>
      </c>
      <c r="M121">
        <f>HOUR(Cleaned_Data[[#This Row],[submission_time]])</f>
        <v>0</v>
      </c>
    </row>
    <row r="122" spans="1:13" x14ac:dyDescent="0.35">
      <c r="A122" t="s">
        <v>268</v>
      </c>
      <c r="B122" s="3">
        <v>45857</v>
      </c>
      <c r="C122" s="4">
        <v>0.54329861111111111</v>
      </c>
      <c r="D122" s="3">
        <v>45858</v>
      </c>
      <c r="E122" s="4">
        <v>0.30929398148148146</v>
      </c>
      <c r="F122" t="s">
        <v>8</v>
      </c>
      <c r="G122" t="s">
        <v>25</v>
      </c>
      <c r="H122" t="s">
        <v>269</v>
      </c>
      <c r="I122" t="s">
        <v>16</v>
      </c>
      <c r="J122">
        <f t="shared" si="3"/>
        <v>24</v>
      </c>
      <c r="K122" t="str">
        <f>TEXT(Cleaned_Data[[#This Row],[submission_date]],"ddd")</f>
        <v>Sat</v>
      </c>
      <c r="L122" t="str">
        <f>TEXT(Cleaned_Data[[#This Row],[submission_date]],"MMM")</f>
        <v>Jul</v>
      </c>
      <c r="M122">
        <f>HOUR(Cleaned_Data[[#This Row],[submission_time]])</f>
        <v>13</v>
      </c>
    </row>
    <row r="123" spans="1:13" x14ac:dyDescent="0.35">
      <c r="A123" t="s">
        <v>270</v>
      </c>
      <c r="B123" s="3">
        <v>45837</v>
      </c>
      <c r="C123" s="4">
        <v>0.83922453703703703</v>
      </c>
      <c r="D123" s="3">
        <v>45838</v>
      </c>
      <c r="E123" s="4">
        <v>0.43869212962962961</v>
      </c>
      <c r="F123" t="s">
        <v>31</v>
      </c>
      <c r="G123" t="s">
        <v>42</v>
      </c>
      <c r="H123" t="s">
        <v>271</v>
      </c>
      <c r="I123" t="s">
        <v>16</v>
      </c>
      <c r="J123">
        <f t="shared" si="3"/>
        <v>24</v>
      </c>
      <c r="K123" t="str">
        <f>TEXT(Cleaned_Data[[#This Row],[submission_date]],"ddd")</f>
        <v>Sun</v>
      </c>
      <c r="L123" t="str">
        <f>TEXT(Cleaned_Data[[#This Row],[submission_date]],"MMM")</f>
        <v>Jun</v>
      </c>
      <c r="M123">
        <f>HOUR(Cleaned_Data[[#This Row],[submission_time]])</f>
        <v>20</v>
      </c>
    </row>
    <row r="124" spans="1:13" x14ac:dyDescent="0.35">
      <c r="A124" t="s">
        <v>272</v>
      </c>
      <c r="B124" s="3">
        <v>45867</v>
      </c>
      <c r="C124" s="4">
        <v>0.61824074074074076</v>
      </c>
      <c r="D124" s="3">
        <v>45868</v>
      </c>
      <c r="E124" s="4">
        <v>0.39221064814814816</v>
      </c>
      <c r="F124" t="s">
        <v>13</v>
      </c>
      <c r="G124" t="s">
        <v>9</v>
      </c>
      <c r="H124" t="s">
        <v>273</v>
      </c>
      <c r="I124" t="s">
        <v>16</v>
      </c>
      <c r="J124">
        <f t="shared" si="3"/>
        <v>24</v>
      </c>
      <c r="K124" t="str">
        <f>TEXT(Cleaned_Data[[#This Row],[submission_date]],"ddd")</f>
        <v>Tue</v>
      </c>
      <c r="L124" t="str">
        <f>TEXT(Cleaned_Data[[#This Row],[submission_date]],"MMM")</f>
        <v>Jul</v>
      </c>
      <c r="M124">
        <f>HOUR(Cleaned_Data[[#This Row],[submission_time]])</f>
        <v>14</v>
      </c>
    </row>
    <row r="125" spans="1:13" x14ac:dyDescent="0.35">
      <c r="A125" t="s">
        <v>274</v>
      </c>
      <c r="B125" s="3">
        <v>45888</v>
      </c>
      <c r="C125" s="4">
        <v>4.9664351851851848E-2</v>
      </c>
      <c r="D125" s="3">
        <v>45889</v>
      </c>
      <c r="E125" s="4">
        <v>0.79620370370370375</v>
      </c>
      <c r="F125" t="s">
        <v>45</v>
      </c>
      <c r="G125" t="s">
        <v>14</v>
      </c>
      <c r="H125" t="s">
        <v>275</v>
      </c>
      <c r="I125" t="s">
        <v>16</v>
      </c>
      <c r="J125">
        <f t="shared" si="3"/>
        <v>24</v>
      </c>
      <c r="K125" t="str">
        <f>TEXT(Cleaned_Data[[#This Row],[submission_date]],"ddd")</f>
        <v>Tue</v>
      </c>
      <c r="L125" t="str">
        <f>TEXT(Cleaned_Data[[#This Row],[submission_date]],"MMM")</f>
        <v>Aug</v>
      </c>
      <c r="M125">
        <f>HOUR(Cleaned_Data[[#This Row],[submission_time]])</f>
        <v>1</v>
      </c>
    </row>
    <row r="126" spans="1:13" x14ac:dyDescent="0.35">
      <c r="A126" t="s">
        <v>276</v>
      </c>
      <c r="B126" s="3">
        <v>45833</v>
      </c>
      <c r="C126" s="4">
        <v>0.25275462962962963</v>
      </c>
      <c r="D126" s="3">
        <v>45833</v>
      </c>
      <c r="E126" s="4">
        <v>0.7823148148148148</v>
      </c>
      <c r="F126" t="s">
        <v>81</v>
      </c>
      <c r="G126" t="s">
        <v>55</v>
      </c>
      <c r="H126" t="s">
        <v>277</v>
      </c>
      <c r="I126" t="s">
        <v>16</v>
      </c>
      <c r="J126">
        <f t="shared" si="3"/>
        <v>0</v>
      </c>
      <c r="K126" t="str">
        <f>TEXT(Cleaned_Data[[#This Row],[submission_date]],"ddd")</f>
        <v>Wed</v>
      </c>
      <c r="L126" t="str">
        <f>TEXT(Cleaned_Data[[#This Row],[submission_date]],"MMM")</f>
        <v>Jun</v>
      </c>
      <c r="M126">
        <f>HOUR(Cleaned_Data[[#This Row],[submission_time]])</f>
        <v>6</v>
      </c>
    </row>
    <row r="127" spans="1:13" x14ac:dyDescent="0.35">
      <c r="A127" t="s">
        <v>278</v>
      </c>
      <c r="B127" s="3">
        <v>45871</v>
      </c>
      <c r="C127" s="4">
        <v>0.76940972222222226</v>
      </c>
      <c r="D127" s="3">
        <v>45872</v>
      </c>
      <c r="E127" s="4">
        <v>0.50789351851851849</v>
      </c>
      <c r="F127" t="s">
        <v>81</v>
      </c>
      <c r="G127" t="s">
        <v>22</v>
      </c>
      <c r="H127" t="s">
        <v>279</v>
      </c>
      <c r="I127" t="s">
        <v>16</v>
      </c>
      <c r="J127">
        <f t="shared" si="3"/>
        <v>24</v>
      </c>
      <c r="K127" t="str">
        <f>TEXT(Cleaned_Data[[#This Row],[submission_date]],"ddd")</f>
        <v>Sat</v>
      </c>
      <c r="L127" t="str">
        <f>TEXT(Cleaned_Data[[#This Row],[submission_date]],"MMM")</f>
        <v>Aug</v>
      </c>
      <c r="M127">
        <f>HOUR(Cleaned_Data[[#This Row],[submission_time]])</f>
        <v>18</v>
      </c>
    </row>
    <row r="128" spans="1:13" x14ac:dyDescent="0.35">
      <c r="A128" t="s">
        <v>280</v>
      </c>
      <c r="B128" s="3">
        <v>45895</v>
      </c>
      <c r="C128" s="4">
        <v>1.576388888888889E-2</v>
      </c>
      <c r="D128" s="3">
        <v>45898</v>
      </c>
      <c r="E128" s="4">
        <v>0.96159722222222221</v>
      </c>
      <c r="F128" t="s">
        <v>21</v>
      </c>
      <c r="G128" t="s">
        <v>32</v>
      </c>
      <c r="H128" t="s">
        <v>281</v>
      </c>
      <c r="I128" t="s">
        <v>29</v>
      </c>
      <c r="J128">
        <f t="shared" si="3"/>
        <v>72</v>
      </c>
      <c r="K128" t="str">
        <f>TEXT(Cleaned_Data[[#This Row],[submission_date]],"ddd")</f>
        <v>Tue</v>
      </c>
      <c r="L128" t="str">
        <f>TEXT(Cleaned_Data[[#This Row],[submission_date]],"MMM")</f>
        <v>Aug</v>
      </c>
      <c r="M128">
        <f>HOUR(Cleaned_Data[[#This Row],[submission_time]])</f>
        <v>0</v>
      </c>
    </row>
    <row r="129" spans="1:13" x14ac:dyDescent="0.35">
      <c r="A129" t="s">
        <v>282</v>
      </c>
      <c r="B129" s="3">
        <v>45855</v>
      </c>
      <c r="C129" s="4">
        <v>0.64118055555555553</v>
      </c>
      <c r="D129" s="3">
        <v>45860</v>
      </c>
      <c r="E129" s="4">
        <v>5.7997685185185187E-2</v>
      </c>
      <c r="F129" t="s">
        <v>13</v>
      </c>
      <c r="G129" t="s">
        <v>55</v>
      </c>
      <c r="H129" t="s">
        <v>283</v>
      </c>
      <c r="I129" t="s">
        <v>29</v>
      </c>
      <c r="J129">
        <f t="shared" si="3"/>
        <v>120</v>
      </c>
      <c r="K129" t="str">
        <f>TEXT(Cleaned_Data[[#This Row],[submission_date]],"ddd")</f>
        <v>Thu</v>
      </c>
      <c r="L129" t="str">
        <f>TEXT(Cleaned_Data[[#This Row],[submission_date]],"MMM")</f>
        <v>Jul</v>
      </c>
      <c r="M129">
        <f>HOUR(Cleaned_Data[[#This Row],[submission_time]])</f>
        <v>15</v>
      </c>
    </row>
    <row r="130" spans="1:13" x14ac:dyDescent="0.35">
      <c r="A130" t="s">
        <v>284</v>
      </c>
      <c r="B130" s="3">
        <v>45909</v>
      </c>
      <c r="C130" s="4">
        <v>0.70981481481481479</v>
      </c>
      <c r="D130" s="3">
        <v>45910</v>
      </c>
      <c r="E130" s="4">
        <v>5.4583333333333331E-2</v>
      </c>
      <c r="F130" t="s">
        <v>45</v>
      </c>
      <c r="G130" t="s">
        <v>18</v>
      </c>
      <c r="H130" t="s">
        <v>285</v>
      </c>
      <c r="I130" t="s">
        <v>11</v>
      </c>
      <c r="J130">
        <f t="shared" ref="J130:J151" si="4">(D130-B130)*24</f>
        <v>24</v>
      </c>
      <c r="K130" t="str">
        <f>TEXT(Cleaned_Data[[#This Row],[submission_date]],"ddd")</f>
        <v>Tue</v>
      </c>
      <c r="L130" t="str">
        <f>TEXT(Cleaned_Data[[#This Row],[submission_date]],"MMM")</f>
        <v>Sep</v>
      </c>
      <c r="M130">
        <f>HOUR(Cleaned_Data[[#This Row],[submission_time]])</f>
        <v>17</v>
      </c>
    </row>
    <row r="131" spans="1:13" x14ac:dyDescent="0.35">
      <c r="A131" t="s">
        <v>286</v>
      </c>
      <c r="B131" s="3">
        <v>45906</v>
      </c>
      <c r="C131" s="4">
        <v>0.72938657407407403</v>
      </c>
      <c r="D131" s="3">
        <v>45908</v>
      </c>
      <c r="E131" s="4">
        <v>0.67296296296296299</v>
      </c>
      <c r="F131" t="s">
        <v>8</v>
      </c>
      <c r="G131" t="s">
        <v>14</v>
      </c>
      <c r="H131" t="s">
        <v>287</v>
      </c>
      <c r="I131" t="s">
        <v>16</v>
      </c>
      <c r="J131">
        <f t="shared" si="4"/>
        <v>48</v>
      </c>
      <c r="K131" t="str">
        <f>TEXT(Cleaned_Data[[#This Row],[submission_date]],"ddd")</f>
        <v>Sat</v>
      </c>
      <c r="L131" t="str">
        <f>TEXT(Cleaned_Data[[#This Row],[submission_date]],"MMM")</f>
        <v>Sep</v>
      </c>
      <c r="M131">
        <f>HOUR(Cleaned_Data[[#This Row],[submission_time]])</f>
        <v>17</v>
      </c>
    </row>
    <row r="132" spans="1:13" x14ac:dyDescent="0.35">
      <c r="A132" t="s">
        <v>288</v>
      </c>
      <c r="B132" s="3">
        <v>45910</v>
      </c>
      <c r="C132" s="4">
        <v>0.87101851851851853</v>
      </c>
      <c r="D132" s="3">
        <v>45912</v>
      </c>
      <c r="E132" s="4">
        <v>0.69246527777777778</v>
      </c>
      <c r="F132" t="s">
        <v>81</v>
      </c>
      <c r="G132" t="s">
        <v>35</v>
      </c>
      <c r="H132" t="s">
        <v>289</v>
      </c>
      <c r="I132" t="s">
        <v>29</v>
      </c>
      <c r="J132">
        <f t="shared" si="4"/>
        <v>48</v>
      </c>
      <c r="K132" t="str">
        <f>TEXT(Cleaned_Data[[#This Row],[submission_date]],"ddd")</f>
        <v>Wed</v>
      </c>
      <c r="L132" t="str">
        <f>TEXT(Cleaned_Data[[#This Row],[submission_date]],"MMM")</f>
        <v>Sep</v>
      </c>
      <c r="M132">
        <f>HOUR(Cleaned_Data[[#This Row],[submission_time]])</f>
        <v>20</v>
      </c>
    </row>
    <row r="133" spans="1:13" x14ac:dyDescent="0.35">
      <c r="A133" t="s">
        <v>290</v>
      </c>
      <c r="B133" s="3">
        <v>45879</v>
      </c>
      <c r="C133" s="4">
        <v>0.52075231481481477</v>
      </c>
      <c r="D133" s="3">
        <v>45883</v>
      </c>
      <c r="E133" s="4">
        <v>0.38922453703703702</v>
      </c>
      <c r="F133" t="s">
        <v>81</v>
      </c>
      <c r="G133" t="s">
        <v>18</v>
      </c>
      <c r="H133" t="s">
        <v>291</v>
      </c>
      <c r="I133" t="s">
        <v>29</v>
      </c>
      <c r="J133">
        <f t="shared" si="4"/>
        <v>96</v>
      </c>
      <c r="K133" t="str">
        <f>TEXT(Cleaned_Data[[#This Row],[submission_date]],"ddd")</f>
        <v>Sun</v>
      </c>
      <c r="L133" t="str">
        <f>TEXT(Cleaned_Data[[#This Row],[submission_date]],"MMM")</f>
        <v>Aug</v>
      </c>
      <c r="M133">
        <f>HOUR(Cleaned_Data[[#This Row],[submission_time]])</f>
        <v>12</v>
      </c>
    </row>
    <row r="134" spans="1:13" x14ac:dyDescent="0.35">
      <c r="A134" t="s">
        <v>292</v>
      </c>
      <c r="B134" s="3">
        <v>45907</v>
      </c>
      <c r="C134" s="4">
        <v>0.10991898148148148</v>
      </c>
      <c r="D134" s="3">
        <v>45910</v>
      </c>
      <c r="E134" s="4">
        <v>0.58736111111111111</v>
      </c>
      <c r="F134" t="s">
        <v>8</v>
      </c>
      <c r="G134" t="s">
        <v>42</v>
      </c>
      <c r="H134" t="s">
        <v>293</v>
      </c>
      <c r="I134" t="s">
        <v>29</v>
      </c>
      <c r="J134">
        <f t="shared" si="4"/>
        <v>72</v>
      </c>
      <c r="K134" t="str">
        <f>TEXT(Cleaned_Data[[#This Row],[submission_date]],"ddd")</f>
        <v>Sun</v>
      </c>
      <c r="L134" t="str">
        <f>TEXT(Cleaned_Data[[#This Row],[submission_date]],"MMM")</f>
        <v>Sep</v>
      </c>
      <c r="M134">
        <f>HOUR(Cleaned_Data[[#This Row],[submission_time]])</f>
        <v>2</v>
      </c>
    </row>
    <row r="135" spans="1:13" x14ac:dyDescent="0.35">
      <c r="A135" t="s">
        <v>294</v>
      </c>
      <c r="B135" s="3">
        <v>45859</v>
      </c>
      <c r="C135" s="4">
        <v>0.29667824074074073</v>
      </c>
      <c r="D135" s="3">
        <v>45859</v>
      </c>
      <c r="E135" s="4">
        <v>0.71195601851851853</v>
      </c>
      <c r="F135" t="s">
        <v>31</v>
      </c>
      <c r="G135" t="s">
        <v>22</v>
      </c>
      <c r="H135" t="s">
        <v>295</v>
      </c>
      <c r="I135" t="s">
        <v>11</v>
      </c>
      <c r="J135">
        <f t="shared" si="4"/>
        <v>0</v>
      </c>
      <c r="K135" t="str">
        <f>TEXT(Cleaned_Data[[#This Row],[submission_date]],"ddd")</f>
        <v>Mon</v>
      </c>
      <c r="L135" t="str">
        <f>TEXT(Cleaned_Data[[#This Row],[submission_date]],"MMM")</f>
        <v>Jul</v>
      </c>
      <c r="M135">
        <f>HOUR(Cleaned_Data[[#This Row],[submission_time]])</f>
        <v>7</v>
      </c>
    </row>
    <row r="136" spans="1:13" x14ac:dyDescent="0.35">
      <c r="A136" t="s">
        <v>296</v>
      </c>
      <c r="B136" s="3">
        <v>45884</v>
      </c>
      <c r="C136" s="4">
        <v>4.3622685185185188E-2</v>
      </c>
      <c r="D136" s="3">
        <v>45891</v>
      </c>
      <c r="E136" s="4">
        <v>2.6817129629629628E-2</v>
      </c>
      <c r="F136" t="s">
        <v>8</v>
      </c>
      <c r="G136" t="s">
        <v>32</v>
      </c>
      <c r="H136" t="s">
        <v>297</v>
      </c>
      <c r="I136" t="s">
        <v>29</v>
      </c>
      <c r="J136">
        <f t="shared" si="4"/>
        <v>168</v>
      </c>
      <c r="K136" t="str">
        <f>TEXT(Cleaned_Data[[#This Row],[submission_date]],"ddd")</f>
        <v>Fri</v>
      </c>
      <c r="L136" t="str">
        <f>TEXT(Cleaned_Data[[#This Row],[submission_date]],"MMM")</f>
        <v>Aug</v>
      </c>
      <c r="M136">
        <f>HOUR(Cleaned_Data[[#This Row],[submission_time]])</f>
        <v>1</v>
      </c>
    </row>
    <row r="137" spans="1:13" x14ac:dyDescent="0.35">
      <c r="A137" t="s">
        <v>298</v>
      </c>
      <c r="B137" s="3">
        <v>45832</v>
      </c>
      <c r="C137" s="4">
        <v>0.24806712962962962</v>
      </c>
      <c r="D137" s="3">
        <v>45837</v>
      </c>
      <c r="E137" s="4">
        <v>3.2083333333333332E-2</v>
      </c>
      <c r="F137" t="s">
        <v>60</v>
      </c>
      <c r="G137" t="s">
        <v>35</v>
      </c>
      <c r="H137" t="s">
        <v>299</v>
      </c>
      <c r="I137" t="s">
        <v>29</v>
      </c>
      <c r="J137">
        <f t="shared" si="4"/>
        <v>120</v>
      </c>
      <c r="K137" t="str">
        <f>TEXT(Cleaned_Data[[#This Row],[submission_date]],"ddd")</f>
        <v>Tue</v>
      </c>
      <c r="L137" t="str">
        <f>TEXT(Cleaned_Data[[#This Row],[submission_date]],"MMM")</f>
        <v>Jun</v>
      </c>
      <c r="M137">
        <f>HOUR(Cleaned_Data[[#This Row],[submission_time]])</f>
        <v>5</v>
      </c>
    </row>
    <row r="138" spans="1:13" x14ac:dyDescent="0.35">
      <c r="A138" t="s">
        <v>300</v>
      </c>
      <c r="B138" s="3">
        <v>45914</v>
      </c>
      <c r="C138" s="4">
        <v>0.74320601851851853</v>
      </c>
      <c r="D138" s="3">
        <v>45917</v>
      </c>
      <c r="E138" s="4">
        <v>0.99118055555555551</v>
      </c>
      <c r="F138" t="s">
        <v>21</v>
      </c>
      <c r="G138" t="s">
        <v>35</v>
      </c>
      <c r="H138" t="s">
        <v>301</v>
      </c>
      <c r="I138" t="s">
        <v>29</v>
      </c>
      <c r="J138">
        <f t="shared" si="4"/>
        <v>72</v>
      </c>
      <c r="K138" t="str">
        <f>TEXT(Cleaned_Data[[#This Row],[submission_date]],"ddd")</f>
        <v>Sun</v>
      </c>
      <c r="L138" t="str">
        <f>TEXT(Cleaned_Data[[#This Row],[submission_date]],"MMM")</f>
        <v>Sep</v>
      </c>
      <c r="M138">
        <f>HOUR(Cleaned_Data[[#This Row],[submission_time]])</f>
        <v>17</v>
      </c>
    </row>
    <row r="139" spans="1:13" x14ac:dyDescent="0.35">
      <c r="A139" t="s">
        <v>302</v>
      </c>
      <c r="B139" s="3">
        <v>45837</v>
      </c>
      <c r="C139" s="4">
        <v>0.38512731481481483</v>
      </c>
      <c r="D139" s="3">
        <v>45838</v>
      </c>
      <c r="E139" s="4">
        <v>0.97002314814814816</v>
      </c>
      <c r="F139" t="s">
        <v>21</v>
      </c>
      <c r="G139" t="s">
        <v>14</v>
      </c>
      <c r="H139" t="s">
        <v>303</v>
      </c>
      <c r="I139" t="s">
        <v>29</v>
      </c>
      <c r="J139">
        <f t="shared" si="4"/>
        <v>24</v>
      </c>
      <c r="K139" t="str">
        <f>TEXT(Cleaned_Data[[#This Row],[submission_date]],"ddd")</f>
        <v>Sun</v>
      </c>
      <c r="L139" t="str">
        <f>TEXT(Cleaned_Data[[#This Row],[submission_date]],"MMM")</f>
        <v>Jun</v>
      </c>
      <c r="M139">
        <f>HOUR(Cleaned_Data[[#This Row],[submission_time]])</f>
        <v>9</v>
      </c>
    </row>
    <row r="140" spans="1:13" x14ac:dyDescent="0.35">
      <c r="A140" t="s">
        <v>304</v>
      </c>
      <c r="B140" s="3">
        <v>45888</v>
      </c>
      <c r="C140" s="4">
        <v>0.55746527777777777</v>
      </c>
      <c r="D140" s="3">
        <v>45889</v>
      </c>
      <c r="E140" s="4">
        <v>0.52858796296296295</v>
      </c>
      <c r="F140" t="s">
        <v>13</v>
      </c>
      <c r="G140" t="s">
        <v>9</v>
      </c>
      <c r="H140" t="s">
        <v>305</v>
      </c>
      <c r="I140" t="s">
        <v>16</v>
      </c>
      <c r="J140">
        <f t="shared" si="4"/>
        <v>24</v>
      </c>
      <c r="K140" t="str">
        <f>TEXT(Cleaned_Data[[#This Row],[submission_date]],"ddd")</f>
        <v>Tue</v>
      </c>
      <c r="L140" t="str">
        <f>TEXT(Cleaned_Data[[#This Row],[submission_date]],"MMM")</f>
        <v>Aug</v>
      </c>
      <c r="M140">
        <f>HOUR(Cleaned_Data[[#This Row],[submission_time]])</f>
        <v>13</v>
      </c>
    </row>
    <row r="141" spans="1:13" x14ac:dyDescent="0.35">
      <c r="A141" t="s">
        <v>306</v>
      </c>
      <c r="B141" s="3">
        <v>45890</v>
      </c>
      <c r="C141" s="4">
        <v>0.61033564814814811</v>
      </c>
      <c r="D141" s="3">
        <v>45896</v>
      </c>
      <c r="E141" s="4">
        <v>0.43381944444444442</v>
      </c>
      <c r="F141" t="s">
        <v>45</v>
      </c>
      <c r="G141" t="s">
        <v>35</v>
      </c>
      <c r="H141" t="s">
        <v>307</v>
      </c>
      <c r="I141" t="s">
        <v>29</v>
      </c>
      <c r="J141">
        <f t="shared" si="4"/>
        <v>144</v>
      </c>
      <c r="K141" t="str">
        <f>TEXT(Cleaned_Data[[#This Row],[submission_date]],"ddd")</f>
        <v>Thu</v>
      </c>
      <c r="L141" t="str">
        <f>TEXT(Cleaned_Data[[#This Row],[submission_date]],"MMM")</f>
        <v>Aug</v>
      </c>
      <c r="M141">
        <f>HOUR(Cleaned_Data[[#This Row],[submission_time]])</f>
        <v>14</v>
      </c>
    </row>
    <row r="142" spans="1:13" x14ac:dyDescent="0.35">
      <c r="A142" t="s">
        <v>308</v>
      </c>
      <c r="B142" s="3">
        <v>45874</v>
      </c>
      <c r="C142" s="4">
        <v>0.45695601851851853</v>
      </c>
      <c r="D142" s="3">
        <v>45875</v>
      </c>
      <c r="E142" s="4">
        <v>7.6851851851851852E-2</v>
      </c>
      <c r="F142" t="s">
        <v>21</v>
      </c>
      <c r="G142" t="s">
        <v>46</v>
      </c>
      <c r="H142" t="s">
        <v>309</v>
      </c>
      <c r="I142" t="s">
        <v>16</v>
      </c>
      <c r="J142">
        <f t="shared" si="4"/>
        <v>24</v>
      </c>
      <c r="K142" t="str">
        <f>TEXT(Cleaned_Data[[#This Row],[submission_date]],"ddd")</f>
        <v>Tue</v>
      </c>
      <c r="L142" t="str">
        <f>TEXT(Cleaned_Data[[#This Row],[submission_date]],"MMM")</f>
        <v>Aug</v>
      </c>
      <c r="M142">
        <f>HOUR(Cleaned_Data[[#This Row],[submission_time]])</f>
        <v>10</v>
      </c>
    </row>
    <row r="143" spans="1:13" x14ac:dyDescent="0.35">
      <c r="A143" t="s">
        <v>310</v>
      </c>
      <c r="B143" s="3">
        <v>45887</v>
      </c>
      <c r="C143" s="4">
        <v>0.43197916666666669</v>
      </c>
      <c r="D143" s="3">
        <v>45887</v>
      </c>
      <c r="E143" s="4">
        <v>0.96815972222222224</v>
      </c>
      <c r="F143" t="s">
        <v>21</v>
      </c>
      <c r="G143" t="s">
        <v>9</v>
      </c>
      <c r="H143" t="s">
        <v>311</v>
      </c>
      <c r="I143" t="s">
        <v>16</v>
      </c>
      <c r="J143">
        <f t="shared" si="4"/>
        <v>0</v>
      </c>
      <c r="K143" t="str">
        <f>TEXT(Cleaned_Data[[#This Row],[submission_date]],"ddd")</f>
        <v>Mon</v>
      </c>
      <c r="L143" t="str">
        <f>TEXT(Cleaned_Data[[#This Row],[submission_date]],"MMM")</f>
        <v>Aug</v>
      </c>
      <c r="M143">
        <f>HOUR(Cleaned_Data[[#This Row],[submission_time]])</f>
        <v>10</v>
      </c>
    </row>
    <row r="144" spans="1:13" x14ac:dyDescent="0.35">
      <c r="A144" t="s">
        <v>312</v>
      </c>
      <c r="B144" s="3">
        <v>45913</v>
      </c>
      <c r="C144" s="4">
        <v>0.68100694444444443</v>
      </c>
      <c r="D144" s="3">
        <v>45914</v>
      </c>
      <c r="E144" s="4">
        <v>0.89906249999999999</v>
      </c>
      <c r="F144" t="s">
        <v>45</v>
      </c>
      <c r="G144" t="s">
        <v>25</v>
      </c>
      <c r="H144" t="s">
        <v>313</v>
      </c>
      <c r="I144" t="s">
        <v>16</v>
      </c>
      <c r="J144">
        <f t="shared" si="4"/>
        <v>24</v>
      </c>
      <c r="K144" t="str">
        <f>TEXT(Cleaned_Data[[#This Row],[submission_date]],"ddd")</f>
        <v>Sat</v>
      </c>
      <c r="L144" t="str">
        <f>TEXT(Cleaned_Data[[#This Row],[submission_date]],"MMM")</f>
        <v>Sep</v>
      </c>
      <c r="M144">
        <f>HOUR(Cleaned_Data[[#This Row],[submission_time]])</f>
        <v>16</v>
      </c>
    </row>
    <row r="145" spans="1:13" x14ac:dyDescent="0.35">
      <c r="A145" t="s">
        <v>314</v>
      </c>
      <c r="B145" s="3">
        <v>45872</v>
      </c>
      <c r="C145" s="4">
        <v>0.28437499999999999</v>
      </c>
      <c r="D145" s="3">
        <v>45875</v>
      </c>
      <c r="E145" s="4">
        <v>0.95112268518518517</v>
      </c>
      <c r="F145" t="s">
        <v>21</v>
      </c>
      <c r="G145" t="s">
        <v>22</v>
      </c>
      <c r="H145" t="s">
        <v>315</v>
      </c>
      <c r="I145" t="s">
        <v>29</v>
      </c>
      <c r="J145">
        <f t="shared" si="4"/>
        <v>72</v>
      </c>
      <c r="K145" t="str">
        <f>TEXT(Cleaned_Data[[#This Row],[submission_date]],"ddd")</f>
        <v>Sun</v>
      </c>
      <c r="L145" t="str">
        <f>TEXT(Cleaned_Data[[#This Row],[submission_date]],"MMM")</f>
        <v>Aug</v>
      </c>
      <c r="M145">
        <f>HOUR(Cleaned_Data[[#This Row],[submission_time]])</f>
        <v>6</v>
      </c>
    </row>
    <row r="146" spans="1:13" x14ac:dyDescent="0.35">
      <c r="A146" t="s">
        <v>316</v>
      </c>
      <c r="B146" s="3">
        <v>45835</v>
      </c>
      <c r="C146" s="4">
        <v>0.12799768518518517</v>
      </c>
      <c r="D146" s="3">
        <v>45835</v>
      </c>
      <c r="E146" s="4">
        <v>0.63755787037037037</v>
      </c>
      <c r="F146" t="s">
        <v>13</v>
      </c>
      <c r="G146" t="s">
        <v>46</v>
      </c>
      <c r="H146" t="s">
        <v>317</v>
      </c>
      <c r="I146" t="s">
        <v>16</v>
      </c>
      <c r="J146">
        <f t="shared" si="4"/>
        <v>0</v>
      </c>
      <c r="K146" t="str">
        <f>TEXT(Cleaned_Data[[#This Row],[submission_date]],"ddd")</f>
        <v>Fri</v>
      </c>
      <c r="L146" t="str">
        <f>TEXT(Cleaned_Data[[#This Row],[submission_date]],"MMM")</f>
        <v>Jun</v>
      </c>
      <c r="M146">
        <f>HOUR(Cleaned_Data[[#This Row],[submission_time]])</f>
        <v>3</v>
      </c>
    </row>
    <row r="147" spans="1:13" x14ac:dyDescent="0.35">
      <c r="A147" t="s">
        <v>318</v>
      </c>
      <c r="B147" s="3">
        <v>45900</v>
      </c>
      <c r="C147" s="4">
        <v>0.65946759259259258</v>
      </c>
      <c r="D147" s="3">
        <v>45900</v>
      </c>
      <c r="E147" s="4">
        <v>0.74320601851851853</v>
      </c>
      <c r="F147" t="s">
        <v>81</v>
      </c>
      <c r="G147" t="s">
        <v>22</v>
      </c>
      <c r="H147" t="s">
        <v>319</v>
      </c>
      <c r="I147" t="s">
        <v>115</v>
      </c>
      <c r="J147">
        <f t="shared" si="4"/>
        <v>0</v>
      </c>
      <c r="K147" t="str">
        <f>TEXT(Cleaned_Data[[#This Row],[submission_date]],"ddd")</f>
        <v>Sun</v>
      </c>
      <c r="L147" t="str">
        <f>TEXT(Cleaned_Data[[#This Row],[submission_date]],"MMM")</f>
        <v>Aug</v>
      </c>
      <c r="M147">
        <f>HOUR(Cleaned_Data[[#This Row],[submission_time]])</f>
        <v>15</v>
      </c>
    </row>
    <row r="148" spans="1:13" x14ac:dyDescent="0.35">
      <c r="A148" t="s">
        <v>320</v>
      </c>
      <c r="B148" s="3">
        <v>45832</v>
      </c>
      <c r="C148" s="4">
        <v>0.46065972222222223</v>
      </c>
      <c r="D148" s="3">
        <v>45832</v>
      </c>
      <c r="E148" s="4">
        <v>0.78771990740740738</v>
      </c>
      <c r="F148" t="s">
        <v>45</v>
      </c>
      <c r="G148" t="s">
        <v>35</v>
      </c>
      <c r="H148" t="s">
        <v>321</v>
      </c>
      <c r="I148" t="s">
        <v>11</v>
      </c>
      <c r="J148">
        <f t="shared" si="4"/>
        <v>0</v>
      </c>
      <c r="K148" t="str">
        <f>TEXT(Cleaned_Data[[#This Row],[submission_date]],"ddd")</f>
        <v>Tue</v>
      </c>
      <c r="L148" t="str">
        <f>TEXT(Cleaned_Data[[#This Row],[submission_date]],"MMM")</f>
        <v>Jun</v>
      </c>
      <c r="M148">
        <f>HOUR(Cleaned_Data[[#This Row],[submission_time]])</f>
        <v>11</v>
      </c>
    </row>
    <row r="149" spans="1:13" x14ac:dyDescent="0.35">
      <c r="A149" t="s">
        <v>322</v>
      </c>
      <c r="B149" s="3">
        <v>45902</v>
      </c>
      <c r="C149" s="4">
        <v>0.70604166666666668</v>
      </c>
      <c r="D149" s="3">
        <v>45906</v>
      </c>
      <c r="E149" s="4">
        <v>0.20913194444444444</v>
      </c>
      <c r="F149" t="s">
        <v>60</v>
      </c>
      <c r="G149" t="s">
        <v>22</v>
      </c>
      <c r="H149" t="s">
        <v>323</v>
      </c>
      <c r="I149" t="s">
        <v>29</v>
      </c>
      <c r="J149">
        <f t="shared" si="4"/>
        <v>96</v>
      </c>
      <c r="K149" t="str">
        <f>TEXT(Cleaned_Data[[#This Row],[submission_date]],"ddd")</f>
        <v>Tue</v>
      </c>
      <c r="L149" t="str">
        <f>TEXT(Cleaned_Data[[#This Row],[submission_date]],"MMM")</f>
        <v>Sep</v>
      </c>
      <c r="M149">
        <f>HOUR(Cleaned_Data[[#This Row],[submission_time]])</f>
        <v>16</v>
      </c>
    </row>
    <row r="150" spans="1:13" x14ac:dyDescent="0.35">
      <c r="A150" t="s">
        <v>324</v>
      </c>
      <c r="B150" s="3">
        <v>45854</v>
      </c>
      <c r="C150" s="4">
        <v>0.59877314814814819</v>
      </c>
      <c r="D150" s="3">
        <v>45855</v>
      </c>
      <c r="E150" s="4">
        <v>0.70151620370370371</v>
      </c>
      <c r="F150" t="s">
        <v>8</v>
      </c>
      <c r="G150" t="s">
        <v>42</v>
      </c>
      <c r="H150" t="s">
        <v>325</v>
      </c>
      <c r="I150" t="s">
        <v>16</v>
      </c>
      <c r="J150">
        <f t="shared" si="4"/>
        <v>24</v>
      </c>
      <c r="K150" t="str">
        <f>TEXT(Cleaned_Data[[#This Row],[submission_date]],"ddd")</f>
        <v>Wed</v>
      </c>
      <c r="L150" t="str">
        <f>TEXT(Cleaned_Data[[#This Row],[submission_date]],"MMM")</f>
        <v>Jul</v>
      </c>
      <c r="M150">
        <f>HOUR(Cleaned_Data[[#This Row],[submission_time]])</f>
        <v>14</v>
      </c>
    </row>
    <row r="151" spans="1:13" x14ac:dyDescent="0.35">
      <c r="A151" t="s">
        <v>326</v>
      </c>
      <c r="B151" s="3">
        <v>45869</v>
      </c>
      <c r="C151" s="4">
        <v>0.17543981481481483</v>
      </c>
      <c r="D151" s="3">
        <v>45870</v>
      </c>
      <c r="E151" s="4">
        <v>0.17598379629629629</v>
      </c>
      <c r="F151" t="s">
        <v>21</v>
      </c>
      <c r="G151" t="s">
        <v>9</v>
      </c>
      <c r="H151" t="s">
        <v>327</v>
      </c>
      <c r="I151" t="s">
        <v>16</v>
      </c>
      <c r="J151">
        <f t="shared" si="4"/>
        <v>24</v>
      </c>
      <c r="K151" t="str">
        <f>TEXT(Cleaned_Data[[#This Row],[submission_date]],"ddd")</f>
        <v>Thu</v>
      </c>
      <c r="L151" t="str">
        <f>TEXT(Cleaned_Data[[#This Row],[submission_date]],"MMM")</f>
        <v>Jul</v>
      </c>
      <c r="M151">
        <f>HOUR(Cleaned_Data[[#This Row],[submission_time]])</f>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F635C-33B0-4E71-83EA-91718126D75C}">
  <dimension ref="A1:C150"/>
  <sheetViews>
    <sheetView topLeftCell="A6" workbookViewId="0">
      <selection activeCell="I7" sqref="I7"/>
    </sheetView>
  </sheetViews>
  <sheetFormatPr defaultRowHeight="14.5" x14ac:dyDescent="0.35"/>
  <cols>
    <col min="1" max="1" width="18.7265625" bestFit="1" customWidth="1"/>
    <col min="2" max="2" width="15.90625" bestFit="1" customWidth="1"/>
    <col min="3" max="3" width="28.1796875" bestFit="1" customWidth="1"/>
    <col min="4" max="4" width="12.1796875" bestFit="1" customWidth="1"/>
    <col min="5" max="6" width="11.08984375" bestFit="1" customWidth="1"/>
    <col min="7" max="7" width="11.54296875" bestFit="1" customWidth="1"/>
    <col min="8" max="8" width="13.26953125" bestFit="1" customWidth="1"/>
    <col min="9" max="9" width="9.1796875" bestFit="1" customWidth="1"/>
    <col min="10" max="10" width="10.90625" bestFit="1" customWidth="1"/>
    <col min="11" max="11" width="9.54296875" bestFit="1" customWidth="1"/>
    <col min="12" max="12" width="10.7265625" bestFit="1" customWidth="1"/>
    <col min="13" max="13" width="16" bestFit="1" customWidth="1"/>
    <col min="14" max="14" width="13" bestFit="1" customWidth="1"/>
    <col min="15" max="15" width="16" bestFit="1" customWidth="1"/>
    <col min="16" max="16" width="13.453125" bestFit="1" customWidth="1"/>
    <col min="17" max="17" width="16" bestFit="1" customWidth="1"/>
    <col min="18" max="18" width="13.453125" bestFit="1" customWidth="1"/>
    <col min="19" max="19" width="16" bestFit="1" customWidth="1"/>
    <col min="20" max="20" width="13" bestFit="1" customWidth="1"/>
    <col min="21" max="21" width="16" bestFit="1" customWidth="1"/>
    <col min="22" max="22" width="13" bestFit="1" customWidth="1"/>
    <col min="23" max="23" width="16" bestFit="1" customWidth="1"/>
    <col min="24" max="24" width="13.26953125" bestFit="1" customWidth="1"/>
    <col min="25" max="25" width="16" bestFit="1" customWidth="1"/>
    <col min="26" max="26" width="13" bestFit="1" customWidth="1"/>
    <col min="27" max="27" width="16" bestFit="1" customWidth="1"/>
    <col min="28" max="28" width="13.453125" bestFit="1" customWidth="1"/>
    <col min="29" max="29" width="16" bestFit="1" customWidth="1"/>
    <col min="30" max="30" width="13" bestFit="1" customWidth="1"/>
    <col min="31" max="31" width="16" bestFit="1" customWidth="1"/>
    <col min="32" max="32" width="13" bestFit="1" customWidth="1"/>
    <col min="33" max="33" width="16" bestFit="1" customWidth="1"/>
    <col min="34" max="34" width="13.453125" bestFit="1" customWidth="1"/>
    <col min="35" max="35" width="16" bestFit="1" customWidth="1"/>
    <col min="36" max="36" width="13" bestFit="1" customWidth="1"/>
    <col min="37" max="37" width="16" bestFit="1" customWidth="1"/>
    <col min="38" max="38" width="13" bestFit="1" customWidth="1"/>
    <col min="39" max="39" width="16" bestFit="1" customWidth="1"/>
    <col min="40" max="40" width="13" bestFit="1" customWidth="1"/>
    <col min="41" max="41" width="16" bestFit="1" customWidth="1"/>
    <col min="42" max="42" width="13" bestFit="1" customWidth="1"/>
    <col min="43" max="43" width="16" bestFit="1" customWidth="1"/>
    <col min="44" max="44" width="13" bestFit="1" customWidth="1"/>
    <col min="45" max="45" width="16" bestFit="1" customWidth="1"/>
    <col min="46" max="46" width="13" bestFit="1" customWidth="1"/>
    <col min="47" max="47" width="16" bestFit="1" customWidth="1"/>
    <col min="48" max="48" width="13" bestFit="1" customWidth="1"/>
    <col min="49" max="49" width="16" bestFit="1" customWidth="1"/>
    <col min="50" max="50" width="13" bestFit="1" customWidth="1"/>
    <col min="51" max="51" width="16" bestFit="1" customWidth="1"/>
    <col min="52" max="52" width="13" bestFit="1" customWidth="1"/>
    <col min="53" max="53" width="16" bestFit="1" customWidth="1"/>
    <col min="54" max="54" width="13" bestFit="1" customWidth="1"/>
    <col min="55" max="55" width="16" bestFit="1" customWidth="1"/>
    <col min="56" max="56" width="13" bestFit="1" customWidth="1"/>
    <col min="57" max="57" width="16" bestFit="1" customWidth="1"/>
    <col min="58" max="58" width="13" bestFit="1" customWidth="1"/>
    <col min="59" max="59" width="16" bestFit="1" customWidth="1"/>
    <col min="60" max="60" width="13" bestFit="1" customWidth="1"/>
    <col min="61" max="61" width="16" bestFit="1" customWidth="1"/>
    <col min="62" max="62" width="13" bestFit="1" customWidth="1"/>
    <col min="63" max="63" width="16" bestFit="1" customWidth="1"/>
    <col min="64" max="64" width="13" bestFit="1" customWidth="1"/>
    <col min="65" max="65" width="16" bestFit="1" customWidth="1"/>
    <col min="66" max="66" width="13.453125" bestFit="1" customWidth="1"/>
    <col min="67" max="67" width="16" bestFit="1" customWidth="1"/>
    <col min="68" max="68" width="13" bestFit="1" customWidth="1"/>
    <col min="69" max="69" width="16" bestFit="1" customWidth="1"/>
    <col min="70" max="70" width="13" bestFit="1" customWidth="1"/>
    <col min="71" max="71" width="16" bestFit="1" customWidth="1"/>
    <col min="72" max="72" width="13" bestFit="1" customWidth="1"/>
    <col min="73" max="73" width="16" bestFit="1" customWidth="1"/>
    <col min="74" max="74" width="13.26953125" bestFit="1" customWidth="1"/>
    <col min="75" max="75" width="16" bestFit="1" customWidth="1"/>
    <col min="76" max="76" width="13" bestFit="1" customWidth="1"/>
    <col min="77" max="77" width="16" bestFit="1" customWidth="1"/>
    <col min="78" max="78" width="13" bestFit="1" customWidth="1"/>
    <col min="79" max="79" width="16" bestFit="1" customWidth="1"/>
    <col min="80" max="80" width="13.453125" bestFit="1" customWidth="1"/>
    <col min="81" max="81" width="16" bestFit="1" customWidth="1"/>
    <col min="82" max="82" width="13" bestFit="1" customWidth="1"/>
    <col min="83" max="83" width="16" bestFit="1" customWidth="1"/>
    <col min="84" max="84" width="13" bestFit="1" customWidth="1"/>
    <col min="85" max="85" width="16" bestFit="1" customWidth="1"/>
    <col min="86" max="86" width="13" bestFit="1" customWidth="1"/>
    <col min="87" max="87" width="16" bestFit="1" customWidth="1"/>
    <col min="88" max="88" width="13.453125" bestFit="1" customWidth="1"/>
    <col min="89" max="89" width="16" bestFit="1" customWidth="1"/>
    <col min="90" max="90" width="13" bestFit="1" customWidth="1"/>
    <col min="91" max="91" width="16" bestFit="1" customWidth="1"/>
    <col min="92" max="92" width="13" bestFit="1" customWidth="1"/>
    <col min="93" max="93" width="16" bestFit="1" customWidth="1"/>
    <col min="94" max="94" width="13" bestFit="1" customWidth="1"/>
    <col min="95" max="95" width="16" bestFit="1" customWidth="1"/>
    <col min="96" max="96" width="13" bestFit="1" customWidth="1"/>
    <col min="97" max="97" width="16" bestFit="1" customWidth="1"/>
    <col min="98" max="98" width="13" bestFit="1" customWidth="1"/>
    <col min="99" max="99" width="16" bestFit="1" customWidth="1"/>
    <col min="100" max="100" width="13" bestFit="1" customWidth="1"/>
    <col min="101" max="101" width="16" bestFit="1" customWidth="1"/>
    <col min="102" max="102" width="13" bestFit="1" customWidth="1"/>
    <col min="103" max="103" width="16" bestFit="1" customWidth="1"/>
    <col min="104" max="104" width="13" bestFit="1" customWidth="1"/>
    <col min="105" max="105" width="16" bestFit="1" customWidth="1"/>
    <col min="106" max="106" width="13" bestFit="1" customWidth="1"/>
    <col min="107" max="107" width="16" bestFit="1" customWidth="1"/>
    <col min="108" max="108" width="13" bestFit="1" customWidth="1"/>
    <col min="109" max="109" width="16" bestFit="1" customWidth="1"/>
    <col min="110" max="110" width="13" bestFit="1" customWidth="1"/>
    <col min="111" max="111" width="16" bestFit="1" customWidth="1"/>
    <col min="112" max="112" width="13" bestFit="1" customWidth="1"/>
    <col min="113" max="113" width="16" bestFit="1" customWidth="1"/>
    <col min="114" max="114" width="13" bestFit="1" customWidth="1"/>
    <col min="115" max="115" width="16" bestFit="1" customWidth="1"/>
    <col min="116" max="116" width="13.453125" bestFit="1" customWidth="1"/>
    <col min="117" max="117" width="16" bestFit="1" customWidth="1"/>
    <col min="118" max="118" width="13.453125" bestFit="1" customWidth="1"/>
    <col min="119" max="119" width="16" bestFit="1" customWidth="1"/>
    <col min="120" max="120" width="13" bestFit="1" customWidth="1"/>
    <col min="121" max="121" width="16" bestFit="1" customWidth="1"/>
    <col min="122" max="122" width="13" bestFit="1" customWidth="1"/>
    <col min="123" max="123" width="16" bestFit="1" customWidth="1"/>
    <col min="124" max="124" width="13" bestFit="1" customWidth="1"/>
    <col min="125" max="125" width="16" bestFit="1" customWidth="1"/>
    <col min="126" max="126" width="13" bestFit="1" customWidth="1"/>
    <col min="127" max="127" width="16" bestFit="1" customWidth="1"/>
    <col min="128" max="128" width="13" bestFit="1" customWidth="1"/>
    <col min="129" max="129" width="16" bestFit="1" customWidth="1"/>
    <col min="130" max="130" width="13" bestFit="1" customWidth="1"/>
    <col min="131" max="131" width="16" bestFit="1" customWidth="1"/>
    <col min="132" max="132" width="13" bestFit="1" customWidth="1"/>
    <col min="133" max="133" width="16" bestFit="1" customWidth="1"/>
    <col min="134" max="134" width="13" bestFit="1" customWidth="1"/>
    <col min="135" max="135" width="16" bestFit="1" customWidth="1"/>
    <col min="136" max="136" width="13" bestFit="1" customWidth="1"/>
    <col min="137" max="137" width="16" bestFit="1" customWidth="1"/>
    <col min="138" max="138" width="13" bestFit="1" customWidth="1"/>
    <col min="139" max="139" width="16" bestFit="1" customWidth="1"/>
    <col min="140" max="140" width="13" bestFit="1" customWidth="1"/>
    <col min="141" max="141" width="16" bestFit="1" customWidth="1"/>
    <col min="142" max="142" width="13" bestFit="1" customWidth="1"/>
    <col min="143" max="143" width="16" bestFit="1" customWidth="1"/>
    <col min="144" max="144" width="13" bestFit="1" customWidth="1"/>
    <col min="145" max="145" width="16" bestFit="1" customWidth="1"/>
    <col min="146" max="146" width="13" bestFit="1" customWidth="1"/>
    <col min="147" max="147" width="16" bestFit="1" customWidth="1"/>
    <col min="148" max="148" width="13.26953125" bestFit="1" customWidth="1"/>
    <col min="149" max="149" width="16" bestFit="1" customWidth="1"/>
    <col min="150" max="150" width="13" bestFit="1" customWidth="1"/>
    <col min="151" max="151" width="16" bestFit="1" customWidth="1"/>
    <col min="152" max="152" width="13" bestFit="1" customWidth="1"/>
    <col min="153" max="153" width="16" bestFit="1" customWidth="1"/>
    <col min="154" max="154" width="13" bestFit="1" customWidth="1"/>
    <col min="155" max="155" width="16" bestFit="1" customWidth="1"/>
    <col min="156" max="156" width="13" bestFit="1" customWidth="1"/>
    <col min="157" max="157" width="16" bestFit="1" customWidth="1"/>
    <col min="158" max="158" width="13" bestFit="1" customWidth="1"/>
    <col min="159" max="159" width="16" bestFit="1" customWidth="1"/>
    <col min="160" max="160" width="13" bestFit="1" customWidth="1"/>
    <col min="161" max="161" width="16" bestFit="1" customWidth="1"/>
    <col min="162" max="162" width="13.453125" bestFit="1" customWidth="1"/>
    <col min="163" max="163" width="16" bestFit="1" customWidth="1"/>
    <col min="164" max="164" width="13" bestFit="1" customWidth="1"/>
    <col min="165" max="165" width="16" bestFit="1" customWidth="1"/>
    <col min="166" max="166" width="13" bestFit="1" customWidth="1"/>
    <col min="167" max="167" width="16" bestFit="1" customWidth="1"/>
    <col min="168" max="168" width="13" bestFit="1" customWidth="1"/>
    <col min="169" max="169" width="16" bestFit="1" customWidth="1"/>
    <col min="170" max="170" width="13" bestFit="1" customWidth="1"/>
    <col min="171" max="171" width="16" bestFit="1" customWidth="1"/>
    <col min="172" max="172" width="13" bestFit="1" customWidth="1"/>
    <col min="173" max="173" width="16" bestFit="1" customWidth="1"/>
    <col min="174" max="174" width="13" bestFit="1" customWidth="1"/>
    <col min="175" max="175" width="16" bestFit="1" customWidth="1"/>
    <col min="176" max="176" width="13" bestFit="1" customWidth="1"/>
    <col min="177" max="177" width="16" bestFit="1" customWidth="1"/>
    <col min="178" max="178" width="13" bestFit="1" customWidth="1"/>
    <col min="179" max="179" width="16" bestFit="1" customWidth="1"/>
    <col min="180" max="180" width="13" bestFit="1" customWidth="1"/>
    <col min="181" max="181" width="16" bestFit="1" customWidth="1"/>
    <col min="182" max="182" width="13" bestFit="1" customWidth="1"/>
    <col min="183" max="183" width="16" bestFit="1" customWidth="1"/>
    <col min="184" max="184" width="13" bestFit="1" customWidth="1"/>
    <col min="185" max="185" width="16" bestFit="1" customWidth="1"/>
    <col min="186" max="186" width="13" bestFit="1" customWidth="1"/>
    <col min="187" max="187" width="16" bestFit="1" customWidth="1"/>
    <col min="188" max="188" width="13" bestFit="1" customWidth="1"/>
    <col min="189" max="189" width="16" bestFit="1" customWidth="1"/>
    <col min="190" max="190" width="13" bestFit="1" customWidth="1"/>
    <col min="191" max="191" width="16" bestFit="1" customWidth="1"/>
    <col min="192" max="192" width="13" bestFit="1" customWidth="1"/>
    <col min="193" max="193" width="16" bestFit="1" customWidth="1"/>
    <col min="194" max="194" width="13" bestFit="1" customWidth="1"/>
    <col min="195" max="195" width="16" bestFit="1" customWidth="1"/>
    <col min="196" max="196" width="13" bestFit="1" customWidth="1"/>
    <col min="197" max="197" width="16" bestFit="1" customWidth="1"/>
    <col min="198" max="198" width="13" bestFit="1" customWidth="1"/>
    <col min="199" max="199" width="16" bestFit="1" customWidth="1"/>
    <col min="200" max="200" width="13" bestFit="1" customWidth="1"/>
    <col min="201" max="201" width="16" bestFit="1" customWidth="1"/>
    <col min="202" max="202" width="13" bestFit="1" customWidth="1"/>
    <col min="203" max="203" width="16" bestFit="1" customWidth="1"/>
    <col min="204" max="204" width="13" bestFit="1" customWidth="1"/>
    <col min="205" max="205" width="16" bestFit="1" customWidth="1"/>
    <col min="206" max="206" width="13" bestFit="1" customWidth="1"/>
    <col min="207" max="207" width="16" bestFit="1" customWidth="1"/>
    <col min="208" max="208" width="13" bestFit="1" customWidth="1"/>
    <col min="209" max="209" width="16" bestFit="1" customWidth="1"/>
    <col min="210" max="210" width="13" bestFit="1" customWidth="1"/>
    <col min="211" max="211" width="16" bestFit="1" customWidth="1"/>
    <col min="212" max="212" width="13.26953125" bestFit="1" customWidth="1"/>
    <col min="213" max="213" width="16" bestFit="1" customWidth="1"/>
    <col min="214" max="214" width="13" bestFit="1" customWidth="1"/>
    <col min="215" max="215" width="16" bestFit="1" customWidth="1"/>
    <col min="216" max="216" width="13" bestFit="1" customWidth="1"/>
    <col min="217" max="217" width="16" bestFit="1" customWidth="1"/>
    <col min="218" max="218" width="13" bestFit="1" customWidth="1"/>
    <col min="219" max="219" width="16" bestFit="1" customWidth="1"/>
    <col min="220" max="220" width="13" bestFit="1" customWidth="1"/>
    <col min="221" max="221" width="16" bestFit="1" customWidth="1"/>
    <col min="222" max="222" width="13" bestFit="1" customWidth="1"/>
    <col min="223" max="223" width="16" bestFit="1" customWidth="1"/>
    <col min="224" max="224" width="13" bestFit="1" customWidth="1"/>
    <col min="225" max="225" width="16" bestFit="1" customWidth="1"/>
    <col min="226" max="226" width="13" bestFit="1" customWidth="1"/>
    <col min="227" max="227" width="16" bestFit="1" customWidth="1"/>
    <col min="228" max="228" width="13" bestFit="1" customWidth="1"/>
    <col min="229" max="229" width="16" bestFit="1" customWidth="1"/>
    <col min="230" max="230" width="13" bestFit="1" customWidth="1"/>
    <col min="231" max="231" width="16" bestFit="1" customWidth="1"/>
    <col min="232" max="232" width="13" bestFit="1" customWidth="1"/>
    <col min="233" max="233" width="16" bestFit="1" customWidth="1"/>
    <col min="234" max="234" width="13" bestFit="1" customWidth="1"/>
    <col min="235" max="235" width="16" bestFit="1" customWidth="1"/>
    <col min="236" max="236" width="13.26953125" bestFit="1" customWidth="1"/>
    <col min="237" max="237" width="16" bestFit="1" customWidth="1"/>
    <col min="238" max="238" width="13" bestFit="1" customWidth="1"/>
    <col min="239" max="239" width="16" bestFit="1" customWidth="1"/>
    <col min="240" max="240" width="13" bestFit="1" customWidth="1"/>
    <col min="241" max="241" width="16" bestFit="1" customWidth="1"/>
    <col min="242" max="242" width="13" bestFit="1" customWidth="1"/>
    <col min="243" max="243" width="16" bestFit="1" customWidth="1"/>
    <col min="244" max="244" width="13" bestFit="1" customWidth="1"/>
    <col min="245" max="245" width="16" bestFit="1" customWidth="1"/>
    <col min="246" max="246" width="13" bestFit="1" customWidth="1"/>
    <col min="247" max="247" width="16" bestFit="1" customWidth="1"/>
    <col min="248" max="248" width="13" bestFit="1" customWidth="1"/>
    <col min="249" max="249" width="16" bestFit="1" customWidth="1"/>
    <col min="250" max="250" width="13" bestFit="1" customWidth="1"/>
    <col min="251" max="251" width="16" bestFit="1" customWidth="1"/>
    <col min="252" max="252" width="13" bestFit="1" customWidth="1"/>
    <col min="253" max="253" width="16" bestFit="1" customWidth="1"/>
    <col min="254" max="254" width="13" bestFit="1" customWidth="1"/>
    <col min="255" max="255" width="16" bestFit="1" customWidth="1"/>
    <col min="256" max="256" width="13" bestFit="1" customWidth="1"/>
    <col min="257" max="257" width="16" bestFit="1" customWidth="1"/>
    <col min="258" max="258" width="13" bestFit="1" customWidth="1"/>
    <col min="259" max="259" width="16" bestFit="1" customWidth="1"/>
    <col min="260" max="260" width="13" bestFit="1" customWidth="1"/>
    <col min="261" max="261" width="16" bestFit="1" customWidth="1"/>
    <col min="262" max="262" width="13.453125" bestFit="1" customWidth="1"/>
    <col min="263" max="263" width="16" bestFit="1" customWidth="1"/>
    <col min="264" max="264" width="13" bestFit="1" customWidth="1"/>
    <col min="265" max="265" width="16" bestFit="1" customWidth="1"/>
    <col min="266" max="266" width="13" bestFit="1" customWidth="1"/>
    <col min="267" max="267" width="16" bestFit="1" customWidth="1"/>
    <col min="268" max="268" width="13" bestFit="1" customWidth="1"/>
    <col min="269" max="269" width="16" bestFit="1" customWidth="1"/>
    <col min="270" max="270" width="13" bestFit="1" customWidth="1"/>
    <col min="271" max="271" width="16" bestFit="1" customWidth="1"/>
    <col min="272" max="272" width="13.453125" bestFit="1" customWidth="1"/>
    <col min="273" max="273" width="16" bestFit="1" customWidth="1"/>
    <col min="274" max="274" width="13.453125" bestFit="1" customWidth="1"/>
    <col min="275" max="275" width="16" bestFit="1" customWidth="1"/>
    <col min="276" max="276" width="13" bestFit="1" customWidth="1"/>
    <col min="277" max="277" width="16" bestFit="1" customWidth="1"/>
    <col min="278" max="278" width="13" bestFit="1" customWidth="1"/>
    <col min="279" max="279" width="16" bestFit="1" customWidth="1"/>
    <col min="280" max="280" width="13.453125" bestFit="1" customWidth="1"/>
    <col min="281" max="281" width="16" bestFit="1" customWidth="1"/>
    <col min="282" max="282" width="13.26953125" bestFit="1" customWidth="1"/>
    <col min="283" max="283" width="16" bestFit="1" customWidth="1"/>
    <col min="284" max="284" width="13" bestFit="1" customWidth="1"/>
    <col min="285" max="285" width="16" bestFit="1" customWidth="1"/>
    <col min="286" max="286" width="13" bestFit="1" customWidth="1"/>
    <col min="287" max="287" width="16" bestFit="1" customWidth="1"/>
    <col min="288" max="288" width="13" bestFit="1" customWidth="1"/>
    <col min="289" max="289" width="16" bestFit="1" customWidth="1"/>
    <col min="290" max="290" width="13.26953125" bestFit="1" customWidth="1"/>
    <col min="291" max="291" width="16" bestFit="1" customWidth="1"/>
    <col min="292" max="292" width="13" bestFit="1" customWidth="1"/>
    <col min="293" max="293" width="16" bestFit="1" customWidth="1"/>
    <col min="294" max="294" width="13.453125" bestFit="1" customWidth="1"/>
    <col min="295" max="295" width="16" bestFit="1" customWidth="1"/>
    <col min="296" max="296" width="13" bestFit="1" customWidth="1"/>
    <col min="297" max="297" width="16" bestFit="1" customWidth="1"/>
    <col min="298" max="298" width="13" bestFit="1" customWidth="1"/>
    <col min="299" max="299" width="16" bestFit="1" customWidth="1"/>
    <col min="300" max="300" width="13" bestFit="1" customWidth="1"/>
    <col min="301" max="301" width="16" bestFit="1" customWidth="1"/>
    <col min="302" max="302" width="10.7265625" bestFit="1" customWidth="1"/>
  </cols>
  <sheetData>
    <row r="1" spans="1:2" x14ac:dyDescent="0.35">
      <c r="A1" s="7" t="s">
        <v>353</v>
      </c>
    </row>
    <row r="2" spans="1:2" x14ac:dyDescent="0.35">
      <c r="A2" s="7" t="s">
        <v>344</v>
      </c>
    </row>
    <row r="3" spans="1:2" x14ac:dyDescent="0.35">
      <c r="A3" s="5" t="s">
        <v>343</v>
      </c>
      <c r="B3" t="s">
        <v>342</v>
      </c>
    </row>
    <row r="4" spans="1:2" x14ac:dyDescent="0.35">
      <c r="A4" s="6" t="s">
        <v>334</v>
      </c>
      <c r="B4" s="13">
        <v>19</v>
      </c>
    </row>
    <row r="5" spans="1:2" x14ac:dyDescent="0.35">
      <c r="A5" s="6" t="s">
        <v>335</v>
      </c>
      <c r="B5" s="13">
        <v>22</v>
      </c>
    </row>
    <row r="6" spans="1:2" x14ac:dyDescent="0.35">
      <c r="A6" s="6" t="s">
        <v>336</v>
      </c>
      <c r="B6" s="13">
        <v>24</v>
      </c>
    </row>
    <row r="7" spans="1:2" x14ac:dyDescent="0.35">
      <c r="A7" s="6" t="s">
        <v>337</v>
      </c>
      <c r="B7" s="13">
        <v>23</v>
      </c>
    </row>
    <row r="8" spans="1:2" x14ac:dyDescent="0.35">
      <c r="A8" s="6" t="s">
        <v>338</v>
      </c>
      <c r="B8" s="13">
        <v>16</v>
      </c>
    </row>
    <row r="9" spans="1:2" x14ac:dyDescent="0.35">
      <c r="A9" s="6" t="s">
        <v>339</v>
      </c>
      <c r="B9" s="13">
        <v>20</v>
      </c>
    </row>
    <row r="10" spans="1:2" x14ac:dyDescent="0.35">
      <c r="A10" s="6" t="s">
        <v>340</v>
      </c>
      <c r="B10" s="13">
        <v>26</v>
      </c>
    </row>
    <row r="11" spans="1:2" x14ac:dyDescent="0.35">
      <c r="A11" s="6" t="s">
        <v>341</v>
      </c>
      <c r="B11" s="13">
        <v>150</v>
      </c>
    </row>
    <row r="22" spans="1:2" x14ac:dyDescent="0.35">
      <c r="A22" s="7" t="s">
        <v>345</v>
      </c>
    </row>
    <row r="24" spans="1:2" x14ac:dyDescent="0.35">
      <c r="A24" s="5" t="s">
        <v>332</v>
      </c>
      <c r="B24" t="s">
        <v>342</v>
      </c>
    </row>
    <row r="25" spans="1:2" x14ac:dyDescent="0.35">
      <c r="A25" s="6" t="s">
        <v>346</v>
      </c>
      <c r="B25" s="13">
        <v>27</v>
      </c>
    </row>
    <row r="26" spans="1:2" x14ac:dyDescent="0.35">
      <c r="A26" s="6" t="s">
        <v>347</v>
      </c>
      <c r="B26" s="13">
        <v>51</v>
      </c>
    </row>
    <row r="27" spans="1:2" x14ac:dyDescent="0.35">
      <c r="A27" s="6" t="s">
        <v>348</v>
      </c>
      <c r="B27" s="13">
        <v>45</v>
      </c>
    </row>
    <row r="28" spans="1:2" x14ac:dyDescent="0.35">
      <c r="A28" s="6" t="s">
        <v>349</v>
      </c>
      <c r="B28" s="13">
        <v>27</v>
      </c>
    </row>
    <row r="29" spans="1:2" x14ac:dyDescent="0.35">
      <c r="A29" s="6" t="s">
        <v>341</v>
      </c>
      <c r="B29" s="13">
        <v>150</v>
      </c>
    </row>
    <row r="36" spans="1:2" x14ac:dyDescent="0.35">
      <c r="A36" s="7" t="s">
        <v>350</v>
      </c>
    </row>
    <row r="38" spans="1:2" x14ac:dyDescent="0.35">
      <c r="A38" s="5" t="s">
        <v>351</v>
      </c>
      <c r="B38" t="s">
        <v>342</v>
      </c>
    </row>
    <row r="39" spans="1:2" x14ac:dyDescent="0.35">
      <c r="A39" s="6">
        <v>0</v>
      </c>
      <c r="B39" s="13">
        <v>9</v>
      </c>
    </row>
    <row r="40" spans="1:2" x14ac:dyDescent="0.35">
      <c r="A40" s="6">
        <v>1</v>
      </c>
      <c r="B40" s="13">
        <v>6</v>
      </c>
    </row>
    <row r="41" spans="1:2" x14ac:dyDescent="0.35">
      <c r="A41" s="6">
        <v>2</v>
      </c>
      <c r="B41" s="13">
        <v>4</v>
      </c>
    </row>
    <row r="42" spans="1:2" x14ac:dyDescent="0.35">
      <c r="A42" s="6">
        <v>3</v>
      </c>
      <c r="B42" s="13">
        <v>6</v>
      </c>
    </row>
    <row r="43" spans="1:2" x14ac:dyDescent="0.35">
      <c r="A43" s="6">
        <v>4</v>
      </c>
      <c r="B43" s="13">
        <v>3</v>
      </c>
    </row>
    <row r="44" spans="1:2" x14ac:dyDescent="0.35">
      <c r="A44" s="6">
        <v>5</v>
      </c>
      <c r="B44" s="13">
        <v>6</v>
      </c>
    </row>
    <row r="45" spans="1:2" x14ac:dyDescent="0.35">
      <c r="A45" s="6">
        <v>6</v>
      </c>
      <c r="B45" s="13">
        <v>9</v>
      </c>
    </row>
    <row r="46" spans="1:2" x14ac:dyDescent="0.35">
      <c r="A46" s="6">
        <v>7</v>
      </c>
      <c r="B46" s="13">
        <v>6</v>
      </c>
    </row>
    <row r="47" spans="1:2" x14ac:dyDescent="0.35">
      <c r="A47" s="6">
        <v>8</v>
      </c>
      <c r="B47" s="13">
        <v>5</v>
      </c>
    </row>
    <row r="48" spans="1:2" x14ac:dyDescent="0.35">
      <c r="A48" s="6">
        <v>9</v>
      </c>
      <c r="B48" s="13">
        <v>6</v>
      </c>
    </row>
    <row r="49" spans="1:2" x14ac:dyDescent="0.35">
      <c r="A49" s="6">
        <v>10</v>
      </c>
      <c r="B49" s="13">
        <v>6</v>
      </c>
    </row>
    <row r="50" spans="1:2" x14ac:dyDescent="0.35">
      <c r="A50" s="6">
        <v>11</v>
      </c>
      <c r="B50" s="13">
        <v>7</v>
      </c>
    </row>
    <row r="51" spans="1:2" x14ac:dyDescent="0.35">
      <c r="A51" s="6">
        <v>12</v>
      </c>
      <c r="B51" s="13">
        <v>7</v>
      </c>
    </row>
    <row r="52" spans="1:2" x14ac:dyDescent="0.35">
      <c r="A52" s="6">
        <v>13</v>
      </c>
      <c r="B52" s="13">
        <v>7</v>
      </c>
    </row>
    <row r="53" spans="1:2" x14ac:dyDescent="0.35">
      <c r="A53" s="6">
        <v>14</v>
      </c>
      <c r="B53" s="13">
        <v>5</v>
      </c>
    </row>
    <row r="54" spans="1:2" x14ac:dyDescent="0.35">
      <c r="A54" s="6">
        <v>15</v>
      </c>
      <c r="B54" s="13">
        <v>6</v>
      </c>
    </row>
    <row r="55" spans="1:2" x14ac:dyDescent="0.35">
      <c r="A55" s="6">
        <v>16</v>
      </c>
      <c r="B55" s="13">
        <v>7</v>
      </c>
    </row>
    <row r="56" spans="1:2" x14ac:dyDescent="0.35">
      <c r="A56" s="6">
        <v>17</v>
      </c>
      <c r="B56" s="13">
        <v>9</v>
      </c>
    </row>
    <row r="57" spans="1:2" x14ac:dyDescent="0.35">
      <c r="A57" s="6">
        <v>18</v>
      </c>
      <c r="B57" s="13">
        <v>4</v>
      </c>
    </row>
    <row r="58" spans="1:2" x14ac:dyDescent="0.35">
      <c r="A58" s="6">
        <v>19</v>
      </c>
      <c r="B58" s="13">
        <v>7</v>
      </c>
    </row>
    <row r="59" spans="1:2" x14ac:dyDescent="0.35">
      <c r="A59" s="6">
        <v>20</v>
      </c>
      <c r="B59" s="13">
        <v>8</v>
      </c>
    </row>
    <row r="60" spans="1:2" x14ac:dyDescent="0.35">
      <c r="A60" s="6">
        <v>21</v>
      </c>
      <c r="B60" s="13">
        <v>6</v>
      </c>
    </row>
    <row r="61" spans="1:2" x14ac:dyDescent="0.35">
      <c r="A61" s="6">
        <v>22</v>
      </c>
      <c r="B61" s="13">
        <v>7</v>
      </c>
    </row>
    <row r="62" spans="1:2" x14ac:dyDescent="0.35">
      <c r="A62" s="6">
        <v>23</v>
      </c>
      <c r="B62" s="13">
        <v>4</v>
      </c>
    </row>
    <row r="63" spans="1:2" x14ac:dyDescent="0.35">
      <c r="A63" s="6" t="s">
        <v>341</v>
      </c>
      <c r="B63" s="13">
        <v>150</v>
      </c>
    </row>
    <row r="74" spans="1:2" x14ac:dyDescent="0.35">
      <c r="A74" s="7" t="s">
        <v>352</v>
      </c>
    </row>
    <row r="75" spans="1:2" x14ac:dyDescent="0.35">
      <c r="A75" s="7" t="s">
        <v>355</v>
      </c>
    </row>
    <row r="76" spans="1:2" x14ac:dyDescent="0.35">
      <c r="A76" s="5" t="s">
        <v>356</v>
      </c>
      <c r="B76" t="s">
        <v>354</v>
      </c>
    </row>
    <row r="77" spans="1:2" x14ac:dyDescent="0.35">
      <c r="A77" s="6" t="s">
        <v>31</v>
      </c>
      <c r="B77" s="8">
        <v>41.6</v>
      </c>
    </row>
    <row r="78" spans="1:2" x14ac:dyDescent="0.35">
      <c r="A78" s="6" t="s">
        <v>81</v>
      </c>
      <c r="B78" s="8">
        <v>62</v>
      </c>
    </row>
    <row r="79" spans="1:2" x14ac:dyDescent="0.35">
      <c r="A79" s="6" t="s">
        <v>21</v>
      </c>
      <c r="B79" s="8">
        <v>39</v>
      </c>
    </row>
    <row r="80" spans="1:2" x14ac:dyDescent="0.35">
      <c r="A80" s="6" t="s">
        <v>45</v>
      </c>
      <c r="B80" s="8">
        <v>48</v>
      </c>
    </row>
    <row r="81" spans="1:2" x14ac:dyDescent="0.35">
      <c r="A81" s="6" t="s">
        <v>8</v>
      </c>
      <c r="B81" s="8">
        <v>49.333333333333336</v>
      </c>
    </row>
    <row r="82" spans="1:2" x14ac:dyDescent="0.35">
      <c r="A82" s="6" t="s">
        <v>60</v>
      </c>
      <c r="B82" s="8">
        <v>99.428571428571431</v>
      </c>
    </row>
    <row r="83" spans="1:2" x14ac:dyDescent="0.35">
      <c r="A83" s="6" t="s">
        <v>13</v>
      </c>
      <c r="B83" s="8">
        <v>57.411764705882355</v>
      </c>
    </row>
    <row r="84" spans="1:2" x14ac:dyDescent="0.35">
      <c r="A84" s="6" t="s">
        <v>341</v>
      </c>
      <c r="B84" s="8">
        <v>52.8</v>
      </c>
    </row>
    <row r="94" spans="1:2" x14ac:dyDescent="0.35">
      <c r="A94" s="9" t="s">
        <v>357</v>
      </c>
    </row>
    <row r="96" spans="1:2" x14ac:dyDescent="0.35">
      <c r="A96" s="5" t="s">
        <v>358</v>
      </c>
      <c r="B96" t="s">
        <v>354</v>
      </c>
    </row>
    <row r="97" spans="1:2" x14ac:dyDescent="0.35">
      <c r="A97" s="6" t="s">
        <v>29</v>
      </c>
      <c r="B97" s="8">
        <v>105.10344827586206</v>
      </c>
    </row>
    <row r="98" spans="1:2" x14ac:dyDescent="0.35">
      <c r="A98" s="6" t="s">
        <v>11</v>
      </c>
      <c r="B98" s="8">
        <v>6.72</v>
      </c>
    </row>
    <row r="99" spans="1:2" x14ac:dyDescent="0.35">
      <c r="A99" s="6" t="s">
        <v>115</v>
      </c>
      <c r="B99" s="8">
        <v>6</v>
      </c>
    </row>
    <row r="100" spans="1:2" x14ac:dyDescent="0.35">
      <c r="A100" s="6" t="s">
        <v>16</v>
      </c>
      <c r="B100" s="8">
        <v>25.904761904761905</v>
      </c>
    </row>
    <row r="101" spans="1:2" x14ac:dyDescent="0.35">
      <c r="A101" s="6" t="s">
        <v>341</v>
      </c>
      <c r="B101" s="8">
        <v>52.8</v>
      </c>
    </row>
    <row r="110" spans="1:2" x14ac:dyDescent="0.35">
      <c r="A110" s="7" t="s">
        <v>359</v>
      </c>
    </row>
    <row r="112" spans="1:2" ht="17.5" x14ac:dyDescent="0.35">
      <c r="A112" s="10" t="s">
        <v>370</v>
      </c>
    </row>
    <row r="113" spans="1:1" x14ac:dyDescent="0.35">
      <c r="A113" s="11"/>
    </row>
    <row r="114" spans="1:1" x14ac:dyDescent="0.35">
      <c r="A114" s="11" t="s">
        <v>360</v>
      </c>
    </row>
    <row r="115" spans="1:1" x14ac:dyDescent="0.35">
      <c r="A115" s="11"/>
    </row>
    <row r="116" spans="1:1" x14ac:dyDescent="0.35">
      <c r="A116" s="11" t="s">
        <v>361</v>
      </c>
    </row>
    <row r="117" spans="1:1" x14ac:dyDescent="0.35">
      <c r="A117" s="11"/>
    </row>
    <row r="118" spans="1:1" x14ac:dyDescent="0.35">
      <c r="A118" s="11" t="s">
        <v>362</v>
      </c>
    </row>
    <row r="119" spans="1:1" x14ac:dyDescent="0.35">
      <c r="A119" s="11"/>
    </row>
    <row r="120" spans="1:1" x14ac:dyDescent="0.35">
      <c r="A120" s="11" t="s">
        <v>363</v>
      </c>
    </row>
    <row r="124" spans="1:1" ht="17.5" x14ac:dyDescent="0.35">
      <c r="A124" s="10" t="s">
        <v>371</v>
      </c>
    </row>
    <row r="125" spans="1:1" x14ac:dyDescent="0.35">
      <c r="A125" s="11"/>
    </row>
    <row r="126" spans="1:1" x14ac:dyDescent="0.35">
      <c r="A126" s="11" t="s">
        <v>364</v>
      </c>
    </row>
    <row r="127" spans="1:1" x14ac:dyDescent="0.35">
      <c r="A127" s="11"/>
    </row>
    <row r="128" spans="1:1" x14ac:dyDescent="0.35">
      <c r="A128" s="11" t="s">
        <v>365</v>
      </c>
    </row>
    <row r="129" spans="1:3" x14ac:dyDescent="0.35">
      <c r="A129" s="11"/>
    </row>
    <row r="130" spans="1:3" x14ac:dyDescent="0.35">
      <c r="A130" s="11" t="s">
        <v>366</v>
      </c>
    </row>
    <row r="131" spans="1:3" x14ac:dyDescent="0.35">
      <c r="A131" s="11"/>
    </row>
    <row r="132" spans="1:3" x14ac:dyDescent="0.35">
      <c r="A132" s="11" t="s">
        <v>367</v>
      </c>
    </row>
    <row r="134" spans="1:3" ht="17.5" x14ac:dyDescent="0.35">
      <c r="A134" s="10" t="s">
        <v>368</v>
      </c>
    </row>
    <row r="135" spans="1:3" x14ac:dyDescent="0.35">
      <c r="A135" s="11" t="s">
        <v>369</v>
      </c>
    </row>
    <row r="137" spans="1:3" x14ac:dyDescent="0.35">
      <c r="A137" s="7" t="s">
        <v>372</v>
      </c>
    </row>
    <row r="139" spans="1:3" x14ac:dyDescent="0.35">
      <c r="A139" s="5" t="s">
        <v>373</v>
      </c>
      <c r="B139" t="s">
        <v>342</v>
      </c>
      <c r="C139" t="s">
        <v>354</v>
      </c>
    </row>
    <row r="140" spans="1:3" x14ac:dyDescent="0.35">
      <c r="A140" s="6" t="s">
        <v>42</v>
      </c>
      <c r="B140" s="12">
        <v>16</v>
      </c>
      <c r="C140" s="8">
        <v>45</v>
      </c>
    </row>
    <row r="141" spans="1:3" x14ac:dyDescent="0.35">
      <c r="A141" s="6" t="s">
        <v>35</v>
      </c>
      <c r="B141" s="12">
        <v>15</v>
      </c>
      <c r="C141" s="8">
        <v>83.2</v>
      </c>
    </row>
    <row r="142" spans="1:3" x14ac:dyDescent="0.35">
      <c r="A142" s="6" t="s">
        <v>32</v>
      </c>
      <c r="B142" s="12">
        <v>17</v>
      </c>
      <c r="C142" s="8">
        <v>73.411764705882348</v>
      </c>
    </row>
    <row r="143" spans="1:3" x14ac:dyDescent="0.35">
      <c r="A143" s="6" t="s">
        <v>22</v>
      </c>
      <c r="B143" s="12">
        <v>17</v>
      </c>
      <c r="C143" s="8">
        <v>48</v>
      </c>
    </row>
    <row r="144" spans="1:3" x14ac:dyDescent="0.35">
      <c r="A144" s="6" t="s">
        <v>25</v>
      </c>
      <c r="B144" s="12">
        <v>13</v>
      </c>
      <c r="C144" s="8">
        <v>33.230769230769234</v>
      </c>
    </row>
    <row r="145" spans="1:3" x14ac:dyDescent="0.35">
      <c r="A145" s="6" t="s">
        <v>55</v>
      </c>
      <c r="B145" s="12">
        <v>8</v>
      </c>
      <c r="C145" s="8">
        <v>66</v>
      </c>
    </row>
    <row r="146" spans="1:3" x14ac:dyDescent="0.35">
      <c r="A146" s="6" t="s">
        <v>46</v>
      </c>
      <c r="B146" s="12">
        <v>7</v>
      </c>
      <c r="C146" s="8">
        <v>30.857142857142858</v>
      </c>
    </row>
    <row r="147" spans="1:3" x14ac:dyDescent="0.35">
      <c r="A147" s="6" t="s">
        <v>18</v>
      </c>
      <c r="B147" s="12">
        <v>16</v>
      </c>
      <c r="C147" s="8">
        <v>64.5</v>
      </c>
    </row>
    <row r="148" spans="1:3" x14ac:dyDescent="0.35">
      <c r="A148" s="6" t="s">
        <v>14</v>
      </c>
      <c r="B148" s="12">
        <v>27</v>
      </c>
      <c r="C148" s="8">
        <v>47.111111111111114</v>
      </c>
    </row>
    <row r="149" spans="1:3" x14ac:dyDescent="0.35">
      <c r="A149" s="6" t="s">
        <v>9</v>
      </c>
      <c r="B149" s="12">
        <v>14</v>
      </c>
      <c r="C149" s="8">
        <v>29.142857142857142</v>
      </c>
    </row>
    <row r="150" spans="1:3" x14ac:dyDescent="0.35">
      <c r="A150" s="6" t="s">
        <v>341</v>
      </c>
      <c r="B150" s="12">
        <v>150</v>
      </c>
      <c r="C150" s="8">
        <v>52.8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99F6B-0198-47E7-BE6A-565374168CC9}">
  <dimension ref="A1"/>
  <sheetViews>
    <sheetView zoomScale="96" zoomScaleNormal="96" workbookViewId="0">
      <selection activeCell="D76" sqref="D7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CDB3E-1989-468D-B91B-98B5D07FEF87}">
  <dimension ref="A1:A19"/>
  <sheetViews>
    <sheetView tabSelected="1" workbookViewId="0">
      <selection activeCell="A3" sqref="A3"/>
    </sheetView>
  </sheetViews>
  <sheetFormatPr defaultRowHeight="14.5" x14ac:dyDescent="0.35"/>
  <sheetData>
    <row r="1" spans="1:1" ht="31" x14ac:dyDescent="0.35">
      <c r="A1" s="14" t="s">
        <v>380</v>
      </c>
    </row>
    <row r="2" spans="1:1" x14ac:dyDescent="0.35">
      <c r="A2" s="11"/>
    </row>
    <row r="3" spans="1:1" x14ac:dyDescent="0.35">
      <c r="A3" s="11" t="s">
        <v>381</v>
      </c>
    </row>
    <row r="4" spans="1:1" x14ac:dyDescent="0.35">
      <c r="A4" s="11"/>
    </row>
    <row r="5" spans="1:1" x14ac:dyDescent="0.35">
      <c r="A5" s="11" t="s">
        <v>382</v>
      </c>
    </row>
    <row r="6" spans="1:1" x14ac:dyDescent="0.35">
      <c r="A6" s="11"/>
    </row>
    <row r="7" spans="1:1" x14ac:dyDescent="0.35">
      <c r="A7" s="11" t="s">
        <v>383</v>
      </c>
    </row>
    <row r="8" spans="1:1" x14ac:dyDescent="0.35">
      <c r="A8" s="11"/>
    </row>
    <row r="9" spans="1:1" x14ac:dyDescent="0.35">
      <c r="A9" s="11" t="s">
        <v>384</v>
      </c>
    </row>
    <row r="10" spans="1:1" x14ac:dyDescent="0.35">
      <c r="A10" s="11"/>
    </row>
    <row r="11" spans="1:1" x14ac:dyDescent="0.35">
      <c r="A11" s="11" t="s">
        <v>385</v>
      </c>
    </row>
    <row r="12" spans="1:1" x14ac:dyDescent="0.35">
      <c r="A12" s="11"/>
    </row>
    <row r="13" spans="1:1" x14ac:dyDescent="0.35">
      <c r="A13" s="11" t="s">
        <v>386</v>
      </c>
    </row>
    <row r="14" spans="1:1" x14ac:dyDescent="0.35">
      <c r="A14" s="11"/>
    </row>
    <row r="15" spans="1:1" x14ac:dyDescent="0.35">
      <c r="A15" s="11" t="s">
        <v>387</v>
      </c>
    </row>
    <row r="16" spans="1:1" x14ac:dyDescent="0.35">
      <c r="A16" s="11"/>
    </row>
    <row r="17" spans="1:1" x14ac:dyDescent="0.35">
      <c r="A17" s="11" t="s">
        <v>388</v>
      </c>
    </row>
    <row r="18" spans="1:1" x14ac:dyDescent="0.35">
      <c r="A18" s="11"/>
    </row>
    <row r="19" spans="1:1" x14ac:dyDescent="0.35">
      <c r="A19" s="11" t="s">
        <v>389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8FF94D-27EE-4F7F-A73C-6CBE3DA1B5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Raw_Data</vt:lpstr>
      <vt:lpstr>Data &amp; Calculations</vt:lpstr>
      <vt:lpstr>Detailed Analysis</vt:lpstr>
      <vt:lpstr>Dashboard</vt:lpstr>
      <vt:lpstr>Recommendations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 Munirathnam</dc:creator>
  <cp:lastModifiedBy>Nithin Munirathnam</cp:lastModifiedBy>
  <dcterms:created xsi:type="dcterms:W3CDTF">2026-03-20T11:59:27Z</dcterms:created>
  <dcterms:modified xsi:type="dcterms:W3CDTF">2026-03-20T15:09:45Z</dcterms:modified>
</cp:coreProperties>
</file>